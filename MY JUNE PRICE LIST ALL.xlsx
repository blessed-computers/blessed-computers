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600" windowHeight="11760" firstSheet="24" activeTab="30"/>
  </bookViews>
  <sheets>
    <sheet name="CPU" sheetId="1" r:id="rId1"/>
    <sheet name="HP TANK" sheetId="3" r:id="rId2"/>
    <sheet name="MB RAM COMBO" sheetId="5" r:id="rId3"/>
    <sheet name="LAZER HP" sheetId="4" r:id="rId4"/>
    <sheet name="DIVICE" sheetId="6" r:id="rId5"/>
    <sheet name="PEN DRIVE" sheetId="7" r:id="rId6"/>
    <sheet name="TINNY DESKTOP" sheetId="8" r:id="rId7"/>
    <sheet name="BAREBONE DESKTOP" sheetId="9" r:id="rId8"/>
    <sheet name="ASSEBLED DESKTOP" sheetId="10" r:id="rId9"/>
    <sheet name="REFURBISHED LAPTOP" sheetId="11" r:id="rId10"/>
    <sheet name="MISCELLANEOUS" sheetId="12" r:id="rId11"/>
    <sheet name="GIGABYTE MB" sheetId="13" r:id="rId12"/>
    <sheet name="TFT LG" sheetId="14" r:id="rId13"/>
    <sheet name="EXTERNAL SSD" sheetId="15" r:id="rId14"/>
    <sheet name="LAPCARE" sheetId="16" r:id="rId15"/>
    <sheet name="DELL" sheetId="17" r:id="rId16"/>
    <sheet name="UPS BATTERY" sheetId="18" r:id="rId17"/>
    <sheet name="HP PERIPHERALS" sheetId="19" r:id="rId18"/>
    <sheet name="WD HARD DISK" sheetId="20" r:id="rId19"/>
    <sheet name="EPSON INK" sheetId="21" r:id="rId20"/>
    <sheet name="LOGITECH" sheetId="22" r:id="rId21"/>
    <sheet name="TVS PRINTER" sheetId="23" r:id="rId22"/>
    <sheet name="ACER TFT" sheetId="24" r:id="rId23"/>
    <sheet name="D-LINK" sheetId="25" r:id="rId24"/>
    <sheet name="KYIRO" sheetId="26" r:id="rId25"/>
    <sheet name="QUICK HEAL" sheetId="27" r:id="rId26"/>
    <sheet name="IVOOMI" sheetId="28" r:id="rId27"/>
    <sheet name="ALL SSD" sheetId="29" r:id="rId28"/>
    <sheet name="RAM" sheetId="30" r:id="rId29"/>
    <sheet name="EPSON PRINTER" sheetId="31" r:id="rId30"/>
    <sheet name="EVM" sheetId="32" r:id="rId31"/>
  </sheets>
  <calcPr calcId="144525"/>
</workbook>
</file>

<file path=xl/calcChain.xml><?xml version="1.0" encoding="utf-8"?>
<calcChain xmlns="http://schemas.openxmlformats.org/spreadsheetml/2006/main">
  <c r="G68" i="27" l="1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" i="27"/>
  <c r="E22" i="4"/>
  <c r="F22" i="4"/>
  <c r="E21" i="4"/>
  <c r="F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10" i="3"/>
  <c r="F9" i="3"/>
  <c r="F8" i="3"/>
  <c r="F7" i="3"/>
  <c r="F6" i="3"/>
  <c r="F5" i="3"/>
  <c r="F4" i="3"/>
  <c r="F3" i="3"/>
  <c r="F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<sst xmlns="http://schemas.openxmlformats.org/spreadsheetml/2006/main" count="1396" uniqueCount="860">
  <si>
    <t>CPU</t>
  </si>
  <si>
    <t>NLC</t>
  </si>
  <si>
    <t>CI3 2ND</t>
  </si>
  <si>
    <t>CI3 3RD</t>
  </si>
  <si>
    <t>CI3 4TH</t>
  </si>
  <si>
    <t>CI3 6TH</t>
  </si>
  <si>
    <t>CI3 7TH</t>
  </si>
  <si>
    <t>CI3 8TH</t>
  </si>
  <si>
    <t>CI39TH</t>
  </si>
  <si>
    <t>CI5 2ND</t>
  </si>
  <si>
    <t>CI53RD</t>
  </si>
  <si>
    <t>CI5 4TH</t>
  </si>
  <si>
    <t>CI5 6TH</t>
  </si>
  <si>
    <t>CI5 7TH</t>
  </si>
  <si>
    <t>CI5 8TH</t>
  </si>
  <si>
    <t>CI59TH</t>
  </si>
  <si>
    <t>CI72nd</t>
  </si>
  <si>
    <t>I7 3RD</t>
  </si>
  <si>
    <t>CI74TH</t>
  </si>
  <si>
    <t>CI7 6TH</t>
  </si>
  <si>
    <t>CI7 7TH</t>
  </si>
  <si>
    <t>CI7 8TH</t>
  </si>
  <si>
    <t>SCHEME1</t>
  </si>
  <si>
    <t>SCHEME2</t>
  </si>
  <si>
    <t>20RS ON 10</t>
  </si>
  <si>
    <t>30RS IF I3 =I5</t>
  </si>
  <si>
    <t>SCHEME3</t>
  </si>
  <si>
    <t>525 PRN</t>
  </si>
  <si>
    <t>524 PRN</t>
  </si>
  <si>
    <t>520 PRN</t>
  </si>
  <si>
    <t>585 PRN</t>
  </si>
  <si>
    <t>580 PRN</t>
  </si>
  <si>
    <t>581prn</t>
  </si>
  <si>
    <t>675 PRN</t>
  </si>
  <si>
    <t>750 PRN</t>
  </si>
  <si>
    <t>790 PRN</t>
  </si>
  <si>
    <t>SCHEME 1</t>
  </si>
  <si>
    <t>ON 1 NO</t>
  </si>
  <si>
    <t>HP WIRELESS COMBO</t>
  </si>
  <si>
    <t>SCHEME 2</t>
  </si>
  <si>
    <t>ON 6 IN MAY JUNE JULY</t>
  </si>
  <si>
    <t>350 PER PRN</t>
  </si>
  <si>
    <t>ON 10 IN MAY JUNE JULY</t>
  </si>
  <si>
    <t>450 PER PRN</t>
  </si>
  <si>
    <t>ON 20 IN MAY JUNE JULY</t>
  </si>
  <si>
    <t>500 PER PRN</t>
  </si>
  <si>
    <t>ON 2NO SINGLE BILLING</t>
  </si>
  <si>
    <t>3NO 150 MBPS WIFI LAN</t>
  </si>
  <si>
    <t>ON 5 NO SINGLE BILLING</t>
  </si>
  <si>
    <t>10 NO 150 MBPS WIFI LAN</t>
  </si>
  <si>
    <t>scheme2</t>
  </si>
  <si>
    <t>CDC</t>
  </si>
  <si>
    <t>1108A</t>
  </si>
  <si>
    <t>126A</t>
  </si>
  <si>
    <t>126NW</t>
  </si>
  <si>
    <t>233DW</t>
  </si>
  <si>
    <t>233SDW</t>
  </si>
  <si>
    <t>3203DW</t>
  </si>
  <si>
    <t>1008A</t>
  </si>
  <si>
    <t>1008W</t>
  </si>
  <si>
    <t>1188A</t>
  </si>
  <si>
    <t>1188W</t>
  </si>
  <si>
    <t>1188FNW</t>
  </si>
  <si>
    <t>150NW</t>
  </si>
  <si>
    <t>178NW</t>
  </si>
  <si>
    <t>303D</t>
  </si>
  <si>
    <t>303DW</t>
  </si>
  <si>
    <t>323D</t>
  </si>
  <si>
    <t>323DNW</t>
  </si>
  <si>
    <t>323SDNW</t>
  </si>
  <si>
    <t>1005A</t>
  </si>
  <si>
    <t>1005W</t>
  </si>
  <si>
    <t>W/L COMBO HP</t>
  </si>
  <si>
    <t>250 ON 1NO</t>
  </si>
  <si>
    <t>300 ON 6NO</t>
  </si>
  <si>
    <t>350 ON11 NO</t>
  </si>
  <si>
    <t>BUNDLE 1</t>
  </si>
  <si>
    <t>H61 EVM</t>
  </si>
  <si>
    <t>8GBD3 DGOLD</t>
  </si>
  <si>
    <t>256 SATA CONSISTENT</t>
  </si>
  <si>
    <t>I5 3RD</t>
  </si>
  <si>
    <t>PRICE TAXPAID</t>
  </si>
  <si>
    <t>BUNDLE2</t>
  </si>
  <si>
    <t>H81 LAPCARE</t>
  </si>
  <si>
    <t>U CAN CHOOSE 3 OUT OF4</t>
  </si>
  <si>
    <t>RAM IS MUST</t>
  </si>
  <si>
    <t>PRICE</t>
  </si>
  <si>
    <t>PRODUCT</t>
  </si>
  <si>
    <t>FINGERPRINT DEVICE MFS110 USB MANTRA</t>
  </si>
  <si>
    <t>FINGERPRINT DEVICE 1300 E3 RD 2M L1 MARPHO</t>
  </si>
  <si>
    <t>FINGERPRINT SCANNER FM220U L1 STARTEK</t>
  </si>
  <si>
    <t>SINGLE IRIS SENSOR IRIS SCAN MIS100V2 MANTRA</t>
  </si>
  <si>
    <t>GPS TRACKER WITH ANTENNA FOR SBI RAIVENS</t>
  </si>
  <si>
    <t>GPS TAGGING DEVICE GPS 8.0 BOB RAIVENS</t>
  </si>
  <si>
    <t>PRICE LIST  (JUNE 2026)</t>
  </si>
  <si>
    <t>PEN DRIVE 16 GB 2.0 ENSTORE EVM</t>
  </si>
  <si>
    <t>PEN DRIVE 32 GB 2.0 EVM</t>
  </si>
  <si>
    <t>PEN DRIVE 64 GB 2.0 EVM</t>
  </si>
  <si>
    <t>PEN DRIVE 128GB 2.0 EVM</t>
  </si>
  <si>
    <t>PEN DRIVE 32GB 2.0 USB FLASH DRIVE SANDISK</t>
  </si>
  <si>
    <t>PEN DRIVE 32 GB USB 3.0 FLASH DRIVE SANDISK</t>
  </si>
  <si>
    <t>PEN DRIVE 64 GB 2.0 USB FALSH DRIVE SANDISK</t>
  </si>
  <si>
    <t>PEN DRIVE 64 GB USB 3.0 FLASH DRIVE SANDISK</t>
  </si>
  <si>
    <t>CI3</t>
  </si>
  <si>
    <t xml:space="preserve"> </t>
  </si>
  <si>
    <t>TAX  PAID</t>
  </si>
  <si>
    <t>6TH GEN</t>
  </si>
  <si>
    <t>HP DTP</t>
  </si>
  <si>
    <t>CORE I3 6THGEN</t>
  </si>
  <si>
    <t>8GB</t>
  </si>
  <si>
    <t>256SATA</t>
  </si>
  <si>
    <t>POWERCABLE</t>
  </si>
  <si>
    <t>6th GEN</t>
  </si>
  <si>
    <t>DELL DTP</t>
  </si>
  <si>
    <t>7TH GEN</t>
  </si>
  <si>
    <t>COREI3 7TH</t>
  </si>
  <si>
    <t>8TH GEN</t>
  </si>
  <si>
    <t>CORE I3 8TH</t>
  </si>
  <si>
    <t>CI5</t>
  </si>
  <si>
    <t>CORE I5 6THGEN</t>
  </si>
  <si>
    <t>COREI5 7TH</t>
  </si>
  <si>
    <t>CORE I5 8TH</t>
  </si>
  <si>
    <t>CI7</t>
  </si>
  <si>
    <t>CORE I7 6THGEN</t>
  </si>
  <si>
    <t>COREI7 7TH</t>
  </si>
  <si>
    <t>CORE I7 8TH</t>
  </si>
  <si>
    <t>DTP</t>
  </si>
  <si>
    <t>4THGEN</t>
  </si>
  <si>
    <t>CORE I3 4TH GEN</t>
  </si>
  <si>
    <t>D3</t>
  </si>
  <si>
    <t>6THGEN</t>
  </si>
  <si>
    <t>8THGEN</t>
  </si>
  <si>
    <t>9TH GEN</t>
  </si>
  <si>
    <t>CORE I3 9TH</t>
  </si>
  <si>
    <t>CORE I5 4TH GEN</t>
  </si>
  <si>
    <t>CORE I5 7TH</t>
  </si>
  <si>
    <t>CORE I5 9TH</t>
  </si>
  <si>
    <t>CORE I7 4TH GEN</t>
  </si>
  <si>
    <t>CORE I3</t>
  </si>
  <si>
    <t>PRICE TAX PAID</t>
  </si>
  <si>
    <t>2ND</t>
  </si>
  <si>
    <t>CABINET EVM</t>
  </si>
  <si>
    <t>CPU FAN</t>
  </si>
  <si>
    <t>8GB DDR3 RAM D-GOLD</t>
  </si>
  <si>
    <t>256CONSISTENT</t>
  </si>
  <si>
    <t xml:space="preserve">MB EVM GIGA LAN </t>
  </si>
  <si>
    <t>3RD</t>
  </si>
  <si>
    <t>4TH</t>
  </si>
  <si>
    <t>6TH</t>
  </si>
  <si>
    <t>8GB RAM D-GOLD</t>
  </si>
  <si>
    <t>7TH</t>
  </si>
  <si>
    <t>8TH</t>
  </si>
  <si>
    <t>9TH</t>
  </si>
  <si>
    <t>COREI5</t>
  </si>
  <si>
    <t>COREI7</t>
  </si>
  <si>
    <t xml:space="preserve">LAUNCHING OFFER- BAG AT THE RATE OF 99/- WITH EVERY LAPTOP </t>
  </si>
  <si>
    <t>ITEM DESCRIPTION</t>
  </si>
  <si>
    <t xml:space="preserve"> ITEM NO.</t>
  </si>
  <si>
    <t>QYT</t>
  </si>
  <si>
    <t>(QCNBAG05421) REFURBISHED DELL/LATITUDE 5420/CORE I5-11TH GEN/16 GB/512 GB SSD/14 INCH</t>
  </si>
  <si>
    <t>QCNBAG05421</t>
  </si>
  <si>
    <t>(QCNBAG03096) REFURBISHED DELL/LATITUDE 5400/CORE I7-8TH GEN/8 GB/512 GB SSD/14 INCH</t>
  </si>
  <si>
    <t>QCNBAG03096</t>
  </si>
  <si>
    <t>(QCNBAG02720) REFURBISHED HP/ELITEBOOK 840 G8/CORE I5-11TH GEN/16 GB/512 GB SSD/14 INCH</t>
  </si>
  <si>
    <t>QCNBAG02720</t>
  </si>
  <si>
    <t xml:space="preserve">(QCNBAG02922 ) REFURBISHED /NOTEBOOK/HP/PROBOOK 440 G5/CORE I5-7TH GEN/8 GB/256 GB SSD </t>
  </si>
  <si>
    <t>QCNBAG02922</t>
  </si>
  <si>
    <t>(QCNBAG05515) REFURBISHED LENOVO/THINKPAD T14 GEN 1/CORE I5-10TH GEN/16 GB/512 GB SSD/14 INCH</t>
  </si>
  <si>
    <t>QCNBAG05515</t>
  </si>
  <si>
    <t>(QCNBAG06481)REFURBISHED DELL/LATITUDE 5420/CORE I7-11TH GEN/16 GB/512 GB SS/14 INCH</t>
  </si>
  <si>
    <t>QCNBAG06481</t>
  </si>
  <si>
    <t>(QCNBAG05789)REFURBISHED HP/PROBOOK 640 G8/CORE I5-11TH GEN/16 GB/512 GB SSD/14 INCH</t>
  </si>
  <si>
    <t>QCNBAG05789</t>
  </si>
  <si>
    <t>(QCNBAG05230)REFURBISHED HP/ELITEBOOK 840 G7/CORE I5-10TH GEN/16 GB/512 GB SSD/14 INCH</t>
  </si>
  <si>
    <t>QCNBAG05230</t>
  </si>
  <si>
    <t>(QCNBAG06317)REFURBISHED LENOVO/V330-14IKB/CORE I3-8TH GEN/8 GB/256 GB SSD/14 INCH</t>
  </si>
  <si>
    <t>QCNBAG06317</t>
  </si>
  <si>
    <t>(QCNBAG02978)REFURBISHED HP ELITEBOOK 840 G5 (CORE I7 8TH GEN/8GB/512GB SSD/WEBCAM/14INCHNON TOUCH/DOS)</t>
  </si>
  <si>
    <t>QCNBAG02978</t>
  </si>
  <si>
    <t xml:space="preserve">(QCNBAG06736) REFURBISHED HP PROBOOK 640 G8 TOUCH CORE I5 11TH GEN 16 GB 512 GB | 3 YEARS WARRANTY </t>
  </si>
  <si>
    <t>QCNBAG06736</t>
  </si>
  <si>
    <t xml:space="preserve">(QCNBAG06762) REFURBISHED LENOVO THINKPAD L14 GEN 2 CORE I5 11TH GEN 8 GB 512 GB | 1 YEARS WARRANTY </t>
  </si>
  <si>
    <t>QCNBAG06762</t>
  </si>
  <si>
    <t>(QCNBAG02779) REFURBISHED HP/ELITEBOOK 840 G6/CORE I5-8TH GEN/8 GB/512 GB SSD/14 INCH</t>
  </si>
  <si>
    <t>QCNBAG02779</t>
  </si>
  <si>
    <t>REFURBISHED DELL LATITUDE 5410 (CORE I5 10TH GEN/16GB/512GB SSD/WEBCAM/14INCHNON TOUCH/DOS)(QCNBAG04607)</t>
  </si>
  <si>
    <t>QCNBAG04607</t>
  </si>
  <si>
    <t>PCI CARD FGC 610 2GB -DDR3 FOXIN</t>
  </si>
  <si>
    <t>HARD DISK 1TB EXTERNAL POWERSHELL S3 GEONIX</t>
  </si>
  <si>
    <t>BARCODE SCANNER 2D WIRED IR-W1580 IRVINE</t>
  </si>
  <si>
    <t>TONER POWDER 88A CHEMICAL GOLD IMAGE KING</t>
  </si>
  <si>
    <t>TONER POWDER 100 GRAMS IMAGE KING</t>
  </si>
  <si>
    <t>UPS 650VA MICROTEK</t>
  </si>
  <si>
    <t>UPS 750 VA MICROTEK</t>
  </si>
  <si>
    <t>UPS 1000VA LEGEND MICROTEK</t>
  </si>
  <si>
    <t>GIGABYTE MOTHER PRICE LIST (JUNE 26)</t>
  </si>
  <si>
    <t xml:space="preserve">PRODUCT </t>
  </si>
  <si>
    <t xml:space="preserve">PRICE </t>
  </si>
  <si>
    <t>MOTHER BAORD H610M K V2 DDR5 SUPPORT GIGABYTE</t>
  </si>
  <si>
    <t>MOTHER BOARD B760M H DDR4 GIGABYTE</t>
  </si>
  <si>
    <t>MOTHER BOARD H610MH DDDR5 GIGABYTE</t>
  </si>
  <si>
    <t>MOTHER BOARD H610M K DDR4 GIGABYTE</t>
  </si>
  <si>
    <t>MOTHER BOARD J1800M-D3P GIGABYTE</t>
  </si>
  <si>
    <t>MISCELLANEOUS (JUNE 26)</t>
  </si>
  <si>
    <t>LAPTOP PRICE (JUNE 26)</t>
  </si>
  <si>
    <t>ASSEBLED DESKTOP (JUNE 26)</t>
  </si>
  <si>
    <t>BAREBONE DESKTOP PRICE LIST (JUNE 2026)</t>
  </si>
  <si>
    <t>PEN DRIVE EVM (JUNE 2026)</t>
  </si>
  <si>
    <t>TFT 19'' MONITOR 19M38HB LG</t>
  </si>
  <si>
    <t>TFT MONITOR 22" 22U401A LG</t>
  </si>
  <si>
    <t xml:space="preserve">TFT 24" 24U411 LG </t>
  </si>
  <si>
    <t>TFT MONITOR 24" 24G411 A-B  LG</t>
  </si>
  <si>
    <t>TFT MONITOR 27" 27G411A-B LG</t>
  </si>
  <si>
    <t xml:space="preserve">KINGSTONE SSD EXTERNAL </t>
  </si>
  <si>
    <t>HARD DISK 1TB EXT SSD 1000/1050 MBPS KINGSTON</t>
  </si>
  <si>
    <t>HARD DISK 2TB EXT SSD 2000MPBS KINGSTON</t>
  </si>
  <si>
    <t>HARD DISK  500GB EXT SSD 2000MBPS KINGSTON</t>
  </si>
  <si>
    <t xml:space="preserve">SANDISK SSD EXTERNAL </t>
  </si>
  <si>
    <t>HARD DISK 1TB EXTREME SSD 1050 MBPS SANDISK</t>
  </si>
  <si>
    <t>HARD DISK 2TB EXT 800MBPS SSD SANDISK</t>
  </si>
  <si>
    <t>HARD DISK 2TB EXTREME SSD 1000MBPS SANDISK</t>
  </si>
  <si>
    <t>HDD 2TB EXTREME PRO 2000 MBPS SSD SANDISK</t>
  </si>
  <si>
    <t>ADAPTER LAPCARE</t>
  </si>
  <si>
    <t>ADAPTER 45W COMPATIBLE ASUS 19V/2.37A LAPCARRE</t>
  </si>
  <si>
    <t>ADAPTER 65 LENOVO 20V/3.25A IDEAPAD LAPCARE</t>
  </si>
  <si>
    <t>ADAPTER 65W HP COMPATIBLE BLUE PIN LAPCARE</t>
  </si>
  <si>
    <t>ADAPTER 65W HP COMPATIBLE MOTI PIN 18.5V LAPCARE</t>
  </si>
  <si>
    <t>ADAPTOR 12V 2AMP LPA-204 LAPCARE</t>
  </si>
  <si>
    <t>LAPTOP ADAPTER 45W 19.5V/2.31A 4.5*3.0 LAPCARE</t>
  </si>
  <si>
    <t>LAPTOP ADAPTER 45W LENOVO PATLI PIN YELLOW  LAPCARE</t>
  </si>
  <si>
    <t>LAPTOP ADAPTER 65W ACER COMPATIBLE 19V/3.4A LAPCARE</t>
  </si>
  <si>
    <t>LAPTOP ADAPTER 65W ASUS COMPATIBLE LAPCARE</t>
  </si>
  <si>
    <t>LAPTOP ADAPTER 65W DELL COMPATIBLE MOTI PIN LAPCARE</t>
  </si>
  <si>
    <t>LAPTOP ADAPTER 65W DELL COMPATIBLE PATLI PIN LAPCAR</t>
  </si>
  <si>
    <t>LAPTOP ADAPTER 65W LENOVO USB LAPCARE</t>
  </si>
  <si>
    <t>LAPTOP ADAPTER 65W TYPE-C LAPCARE</t>
  </si>
  <si>
    <t>LAPTOP ADAPTER 90W DELL COMATIBLE 19.5V LAPCARE</t>
  </si>
  <si>
    <t>CABINET LAPCARE</t>
  </si>
  <si>
    <t>CABINET WITH SMPS  AURA V (LOX-236) BLACK LAPCARE</t>
  </si>
  <si>
    <t>CABINET WITH SMPS  AURA V (LOX-236) WHITE LAPCARE</t>
  </si>
  <si>
    <t>CABLE LAPCARE</t>
  </si>
  <si>
    <t xml:space="preserve">CAT 6 100 MTR CATMAN </t>
  </si>
  <si>
    <t>CABLE HDMI 1.5 MTR WITH EATHERNET LAPCARE</t>
  </si>
  <si>
    <t>DESKTOP POWER CABLE BLACK LAPCARE</t>
  </si>
  <si>
    <t>DP TP DP 1.8 M LOX-034 LAPCARE</t>
  </si>
  <si>
    <t>HDMI CABLE 10 MTR V1.4BC LAPCARE</t>
  </si>
  <si>
    <t>HDMI CABLE 15MTR LAPCARE</t>
  </si>
  <si>
    <t>HDMI CABLE 20MTR V1.4 BC AWG26 LAPCARE</t>
  </si>
  <si>
    <t>HDMI CABLE 3MTR WITH ETHERNET +3D TRUE ULTA LAPCARE</t>
  </si>
  <si>
    <t>HDMI CABLE 5MTR WITH ETHERNET LAPCARE</t>
  </si>
  <si>
    <t>LAPTOP PWER CABLE BLACK LAPCARE</t>
  </si>
  <si>
    <t>PATCH CORD 1.5MTR CAT6 E LAPCARE</t>
  </si>
  <si>
    <t>PATCH CORD CAT6 E 10 MTR LAPCARE</t>
  </si>
  <si>
    <t>PATCH CORD CAT6 E 3MTR LAPCARE</t>
  </si>
  <si>
    <t>PATCH CORD CAT6 E 5 MTR LAPCARE</t>
  </si>
  <si>
    <t>USB EXTENSION CABLE 1.5MTR (LPUSBEXT) LAPCARE</t>
  </si>
  <si>
    <t>USB PRINTER CABLE 1.5MTR (LPPRNCB) LAPCARE</t>
  </si>
  <si>
    <t>USB PRINTER CABLE 3MTR LPC3M LAPCARE</t>
  </si>
  <si>
    <t>USB PRINTER CABLE 5MTR LPC5M LAPCARE</t>
  </si>
  <si>
    <t>VGA CABLE 1.5 MTR PREMIUM LAPCARE</t>
  </si>
  <si>
    <t>VGA CABLE 3MTR PREMIUM LAPCARE</t>
  </si>
  <si>
    <t>VGA CABLE 5 MTR PREMIUM LAPCARE</t>
  </si>
  <si>
    <t>CONVERTER LAPCARE</t>
  </si>
  <si>
    <t>DISPLAY TO VGA CONVERTER  LAPCARE</t>
  </si>
  <si>
    <t>DP TO HDMI CONVERTOR WITH 20CM CABLE LAPCARE</t>
  </si>
  <si>
    <t>HDMI TO VGA CONVERTOR WITH 20CM CABLE LAPCARE</t>
  </si>
  <si>
    <t>MINI DP TO VGA CONVERTOR WITH 20CM LAPCARE</t>
  </si>
  <si>
    <t>USB 2.0 TO EATHERNET LAPCARE</t>
  </si>
  <si>
    <t>VGA TO HDMI CONVERTOR WITH AUDIO LAPCARE</t>
  </si>
  <si>
    <t>CPU FAN LAPCARE</t>
  </si>
  <si>
    <t>CPU COOLING FAN VENUS LCF-999 LAPCARE</t>
  </si>
  <si>
    <t>DASH CAMERA</t>
  </si>
  <si>
    <t>GPS DASH CAMERA 1080 P FULL HD LAPCAM LAPCARE</t>
  </si>
  <si>
    <t>EARBUDS LAPCARE</t>
  </si>
  <si>
    <t>NECKBAND WIRELESS HOODS PLUS LNB-131 LAPCARE</t>
  </si>
  <si>
    <t>WIRELESS EARBUDS TWINPODS-C LAPCARE</t>
  </si>
  <si>
    <t>KEYBOARD LAPCARE</t>
  </si>
  <si>
    <t>GAMING KEYBOARD MOUSE COMBO CHAMP RAPIDO LAPCARE</t>
  </si>
  <si>
    <t>KEYBOARD MULTIMEDIA WIRED MINI D-LITE BLACK LAPCARE</t>
  </si>
  <si>
    <t>KEYBOARD USB ALFA (GREY-WHITE) LAPCARE</t>
  </si>
  <si>
    <t>KEYBOARD USB ALFA LAPCARE</t>
  </si>
  <si>
    <t>KEYBOARD USB WIRED MAGMA LKB-399 LAPCARE</t>
  </si>
  <si>
    <t>WIRED KEYBOARD MOUSE COMBO E9 LAPCARE</t>
  </si>
  <si>
    <t>WIRELESS KEYBOARD MOUSE COMBO 102 LAPCARE</t>
  </si>
  <si>
    <t>WIRELESS KEYBOARD MOUSE (WHITE) COMBO 102 LAPCARE</t>
  </si>
  <si>
    <t>WRED KEYBOARD MOUSE COMBO MAGMA (LMK-105) LAPCARE</t>
  </si>
  <si>
    <t>LAMINATION MACHINE LAPCARE</t>
  </si>
  <si>
    <t>LAMINATION MACHINE A3 SIZE (LLM-003) LAPCARE</t>
  </si>
  <si>
    <t>LAN ADAPTOR LAPCARE</t>
  </si>
  <si>
    <t xml:space="preserve">300 MBPS LAN ADAPTER </t>
  </si>
  <si>
    <t>W-FI- LAN ADAPTER 150MBPS 2.0 LWD-150 LAPCARE</t>
  </si>
  <si>
    <t>LAPTOP BATTERY LAPCARE</t>
  </si>
  <si>
    <t>LAPTOP BATTERY FOR HP 240/250 G6 JC04 JC03 LAPCARE</t>
  </si>
  <si>
    <t>LAPTOP BATTERY HP HT03XL 3C LAPCARE</t>
  </si>
  <si>
    <t>LAPTOP BATTERY LITHIUM ION 14R/15R LAPCARE</t>
  </si>
  <si>
    <t>LAPTOP BATTERY LITHIUM ION 3521 4C LAPCARE</t>
  </si>
  <si>
    <t>LAPTOP BATTERY LITHIUM ION DELL 3451 LAPCARE</t>
  </si>
  <si>
    <t>LAPTOP BATTERY LITHIUM ION FOR CQ42 6C LAPCARE</t>
  </si>
  <si>
    <t>LAPTOP BATTERY LITHIUM ION G460 6C LAPCARE</t>
  </si>
  <si>
    <t>LAPTOP BATTERY LITHIUM ION HP HS04 4C LAPCARE</t>
  </si>
  <si>
    <t>LAPTOP BATTERY LITHIUM ION HP OA04 LAPCARE</t>
  </si>
  <si>
    <t>LAPTOP BATTERY LITHIUM ION LA04 4C LAPCARE</t>
  </si>
  <si>
    <t>LAPTOP COOLING FAN LAPCARE</t>
  </si>
  <si>
    <t>LAPTOP COOLING FAN CHILLMATE LAPCARE</t>
  </si>
  <si>
    <t>MOTHER BOARD LAPCARE</t>
  </si>
  <si>
    <t>MOTHER BOARD H110-N WITH NVME SLOT LAPCARE</t>
  </si>
  <si>
    <t>MOTHER BOARD H310 WITH NVME SLOT LAPCARE</t>
  </si>
  <si>
    <t>MOTHER BOARD H61 WITH NVME SLOT LAPCARE</t>
  </si>
  <si>
    <t>MOTHER BOARD H81 WITH NVME SLOTE LAPCARE</t>
  </si>
  <si>
    <t>MOUSE LAPCARE</t>
  </si>
  <si>
    <t>MOUSE WIRED OPTICAL L-60LAPCARE</t>
  </si>
  <si>
    <t>MOUSE WIRELESS SAFARI 009 TYPE-C LWM-009 LAPCARE</t>
  </si>
  <si>
    <t>MOUSE WIRELESS SAFARI III BLACK LAPCARE</t>
  </si>
  <si>
    <t>OPTICAL USB MOUSE L70 PLUS LAPCARE</t>
  </si>
  <si>
    <t>PENDRIVE LAPCARE</t>
  </si>
  <si>
    <t>PENDRIVE 32GB 2.0 LAPCARE</t>
  </si>
  <si>
    <t xml:space="preserve">PEN DRIVE 64 GB 2.0 LAPCARE </t>
  </si>
  <si>
    <t>PROJECTOR LAPCARE</t>
  </si>
  <si>
    <t>PROJECTOR LLP015</t>
  </si>
  <si>
    <t>PROJECTOR LAPCAREPRO LLP 024</t>
  </si>
  <si>
    <t>SPEAKER LAPCARE</t>
  </si>
  <si>
    <t>SPEAKER BLUETOOTH GOBEAT 8 (LBS-603) LAPCARE</t>
  </si>
  <si>
    <t>USB SPEAKER 2.0LUS-040 LAPCARE</t>
  </si>
  <si>
    <t>USB SPEAKER TWINNYY 5 2.0 (LOX-243) LAPCARE</t>
  </si>
  <si>
    <t xml:space="preserve">SPIKE BUSTER 1.5 MTR 5 SOCKET </t>
  </si>
  <si>
    <t xml:space="preserve">CASING LAPCARE </t>
  </si>
  <si>
    <t xml:space="preserve">SSD 256 GB SATA LAPCARE </t>
  </si>
  <si>
    <t>SPEAKER  BT STEREO GOBEAT VI 10W LBS-315 LAPCARE</t>
  </si>
  <si>
    <t>TFT LAPCARE</t>
  </si>
  <si>
    <t xml:space="preserve">TFT MONITOR 20 INCH LM21WHD </t>
  </si>
  <si>
    <t>TFT MONITOR 19" VGA/HDMI LM195WDH LAPCARE</t>
  </si>
  <si>
    <t>TFT MONITOR 22" LM22WHD-ZL LAPNEX 1YEAR LAPCARE</t>
  </si>
  <si>
    <t>TFT MONITOR 24" IPS BORDERLESS LM24WFHD 3YER LAPCAR</t>
  </si>
  <si>
    <t>TFT MONITOR 27" LM27GMWSP VGA/HDMI+SPEAKER LAPCARE</t>
  </si>
  <si>
    <t>TFT MONITOR 19" ZOOY LM19WDH VGA&amp;HDMI 3YEAR LAPCARE</t>
  </si>
  <si>
    <t>TFT MONITOR 22" LM22WHD VGA/HDMI LAPCARE</t>
  </si>
  <si>
    <t>TONER LAPCARE</t>
  </si>
  <si>
    <t>TONER CARTRIDGE 071 WITH CHIP LAPCARE</t>
  </si>
  <si>
    <t>TONER CARTRIDGE 110A WITHCHIP LAPCARE</t>
  </si>
  <si>
    <t>TONER CARTRIDGE 137A WITH CHIP LAPCARE</t>
  </si>
  <si>
    <t>TONER CARTRIDGE 166A WITHCHIP LAPCARE</t>
  </si>
  <si>
    <t>TONER CARTRIDGE 2365 LAPCARE</t>
  </si>
  <si>
    <t>TONER CARTRIDGE 2612A LPC12A LAPCARE</t>
  </si>
  <si>
    <t>TONER CARTRIDGE 278A LAPCARE</t>
  </si>
  <si>
    <t>TONER CARTRIDGE 337A LPC337A LAPCARE</t>
  </si>
  <si>
    <t>TONER CARTRIDGE 388A LPC88A LAPCARE</t>
  </si>
  <si>
    <t>USB HUB LAPCARE</t>
  </si>
  <si>
    <t>USB HUB 2.0 4PORT WITH 1.5MTR CABLE LAPCARE</t>
  </si>
  <si>
    <t>USB HUB 4 PORT 2.0 1MTR CABLE LAPCARE</t>
  </si>
  <si>
    <t>USB HUB 8IN 1 MULTIPORT TYPE-C DOCKING STATION LAPC</t>
  </si>
  <si>
    <t>WEB CAMERA LAPCARE</t>
  </si>
  <si>
    <t>WEB CAMERA LAPCAM HD720P (LWC-042) LAPCARE</t>
  </si>
  <si>
    <t xml:space="preserve">UPS 600VA LAPCARE </t>
  </si>
  <si>
    <t>DELL</t>
  </si>
  <si>
    <t>KEYBOARD DELL</t>
  </si>
  <si>
    <t>KEYBOARD MULTIMEDIA KB216 DELL</t>
  </si>
  <si>
    <t>WIRELESS KEYBOARD MOUSE COMBO KM3322W DELL</t>
  </si>
  <si>
    <t>LAPTOP ADAPTER DELL</t>
  </si>
  <si>
    <t>ADAPTER 45W 3 PIN 19.5V 2.31 A (KXTTW/T8YYD) DELL</t>
  </si>
  <si>
    <t>LAPTOP ADAPTER 19.5V 3.4A 65W BIG PIN DELL</t>
  </si>
  <si>
    <t>LAPTOP ADAPTER 19.5V 3.4A 65W BIG PIN TG2MG DELL</t>
  </si>
  <si>
    <t>LAPTOP ADAPTER 65 W TYPE C (CJG9W/1P49R) DELL</t>
  </si>
  <si>
    <t>LAPTOP ADAPTER 65W 19.5V 3P  PATLI PIN DELL</t>
  </si>
  <si>
    <t>MOUSE DELL</t>
  </si>
  <si>
    <t>MOUSE WIRED D SELECT TYPE-C DS112 DELL</t>
  </si>
  <si>
    <t>OPTICAL USB MOUSE MS116 BLACK DELL</t>
  </si>
  <si>
    <t>WIRELESS MOUSE WM118 DELL</t>
  </si>
  <si>
    <t xml:space="preserve">LAPTOP DELL </t>
  </si>
  <si>
    <t>LAPTOP PRO E 15 CORE3 8GB /512GB /15.6 DOS DELL</t>
  </si>
  <si>
    <t xml:space="preserve">TFT DELL </t>
  </si>
  <si>
    <t>TFT MONITOR 19.5 E2026H DELL</t>
  </si>
  <si>
    <t>UPS BATTERY 12V/7.2AH ELAB 7200 EVM</t>
  </si>
  <si>
    <t>UPS BATTERY 12V 7.2AH LAPON 027 LAPCARE</t>
  </si>
  <si>
    <t>UPS BATTERY 12V 7AH RELICELL</t>
  </si>
  <si>
    <t>WIRED USB MOUSE M080 HP</t>
  </si>
  <si>
    <t xml:space="preserve">ON 10 NO USB HUB KYIRO FREE 1.5 MTR </t>
  </si>
  <si>
    <t>MOUSE WIRELESS M090 HP</t>
  </si>
  <si>
    <t xml:space="preserve">ON 5 NO USB HUB KYIRO FREE </t>
  </si>
  <si>
    <t>USB WIRED KEYBOARD K160 HP</t>
  </si>
  <si>
    <t>USB WIRED KEYBOARD K100 HP</t>
  </si>
  <si>
    <t>WIRED KEYBOARD MOUSE COMBO KM160 HP</t>
  </si>
  <si>
    <t xml:space="preserve">ON 3 NO USB HUB KYIRO FREE </t>
  </si>
  <si>
    <t>WIRELESS KEYBOARD MOUSE COMBO KM260 HP</t>
  </si>
  <si>
    <t>ON 2 NO USB HUB KYIRO FREE</t>
  </si>
  <si>
    <t>ENTERNAL HARD DISK WD</t>
  </si>
  <si>
    <t>HARD DISK 2TB SATA SURVEILLANCE WD</t>
  </si>
  <si>
    <t>HARD DISK 4 TB SATA SURVILLANCE WD</t>
  </si>
  <si>
    <t xml:space="preserve">EXTERNAL HARD DISK WD </t>
  </si>
  <si>
    <t>HARD DISK 2TB EXTERNAL ELEMENTS WD</t>
  </si>
  <si>
    <t xml:space="preserve">5 PORT IPNERV NORMAL   FOC </t>
  </si>
  <si>
    <t>HARD DISK 2TB MY PASSPORT WD</t>
  </si>
  <si>
    <t xml:space="preserve">8 PORT IP NERV NORMAL FOC </t>
  </si>
  <si>
    <t>HARD DISK 4TB EXTERNAL ELEMENT WD</t>
  </si>
  <si>
    <t>HARD DISK USB 1TB MY PASSPORT WD</t>
  </si>
  <si>
    <t>INK BOTTLE 127 ML 001BK BLACK EPSON</t>
  </si>
  <si>
    <t>INK BOTTLE 70ML 001Y MAGENTA  EPSON</t>
  </si>
  <si>
    <t>INK BOTTLE 70ML 001Y YELLOW EPSON</t>
  </si>
  <si>
    <t>INK BOTTLE 70ML 001Y CYAN  EPSON</t>
  </si>
  <si>
    <t>INK BOTTLE L3110 BLACK T00V198 003 EPSON</t>
  </si>
  <si>
    <t>INK BOTTLE L3110 CYAN T00V298 003 EPSON</t>
  </si>
  <si>
    <t>INK BOTTLE L3110 YELLOW T00V498 003 EPSON</t>
  </si>
  <si>
    <t>INK BOTTLE L3110 MEGENTA T00V398 003 EPSON</t>
  </si>
  <si>
    <t>INK BOTTLE L800 CYAN 673 CYAN EPSON</t>
  </si>
  <si>
    <t>INK BOTTLE L800 LIGHT CYAN 673LC EPSON</t>
  </si>
  <si>
    <t>INK BOTTLE L800 LIGHT MAGENTA 673LM EPSON</t>
  </si>
  <si>
    <t>INK BOTTLE L800 YELLOW  673 YELLOW EPSON</t>
  </si>
  <si>
    <t>INK BOTTLE T6641 BLACK EPSON</t>
  </si>
  <si>
    <t>INK BOTTLE T6642 CYAN EPSON</t>
  </si>
  <si>
    <t>INK BOTTLE T6643 MEGENTA EPSON</t>
  </si>
  <si>
    <t>INK BOTTLE T6644 YELLOW EPSON</t>
  </si>
  <si>
    <t>INK BOTTLE T774100 BLACK MONO M100/M200 EPSON</t>
  </si>
  <si>
    <t>INK BOTTLE 008 BLACK 127ML EPSON</t>
  </si>
  <si>
    <t>INK BOTTLE 008 MAGENTA 70 ML EPSON</t>
  </si>
  <si>
    <t>INK BOTTLE 008 YELLOW 70 ML EPSON</t>
  </si>
  <si>
    <t>INK BOTTLE 008 CYAN 70 ML EPSON</t>
  </si>
  <si>
    <t>INK BOTTLE M2140 BLACK T03Q198 005 EPSON</t>
  </si>
  <si>
    <t>LOGITECH JUNE   2026</t>
  </si>
  <si>
    <t xml:space="preserve">KEYBOARD </t>
  </si>
  <si>
    <t>KEYBOARD USB M/M K120 LOGITECH</t>
  </si>
  <si>
    <t>WIRED KEYBOARD MOUSE MK120 LOGITECH</t>
  </si>
  <si>
    <t>WIRELESS KEYBOARD MOUSE COMBO MK220 LOGITECH</t>
  </si>
  <si>
    <t>WIRELESS KEYBOARD MOUSE COMBO MK235 LOGITECH</t>
  </si>
  <si>
    <t>WIRELESS KEYBOARD MOUSE COMBO MK240</t>
  </si>
  <si>
    <t>WIRELESS KEYBOARD MOUSE COMBO MK275 LOGITECH</t>
  </si>
  <si>
    <t xml:space="preserve">MOUSE </t>
  </si>
  <si>
    <t>MOUSE WIRED M100R LOGITECH</t>
  </si>
  <si>
    <t>MOUUSE WIRELESS M170 BLACK LOGITECH</t>
  </si>
  <si>
    <t>MOUSE M-90 USB LOGITECH</t>
  </si>
  <si>
    <t>MOUSE WIRELESS GRAPHITE M196 LOGITECH</t>
  </si>
  <si>
    <t xml:space="preserve">WEB CAME </t>
  </si>
  <si>
    <t>WEB CAMERA HD C270-AP LOGITECH</t>
  </si>
  <si>
    <t>WEB CAMERA BRIO 100 LOGITECH</t>
  </si>
  <si>
    <t xml:space="preserve">PRESENTOR </t>
  </si>
  <si>
    <t>PRESENTATION REMOTE  R800 GRAPHITE LOGITECH</t>
  </si>
  <si>
    <t xml:space="preserve">HEAD PHONE </t>
  </si>
  <si>
    <t>HEADPHONE WITH MIC 3.5 MM DUAL PLUG H110 LOGITECH</t>
  </si>
  <si>
    <t>HEADPHONE WITH MIC 3.5MM H111 LOGITECH</t>
  </si>
  <si>
    <t xml:space="preserve">TVS PRODUCT JUNE PRICE LIST </t>
  </si>
  <si>
    <t xml:space="preserve">BARCODE SCANNER TVS </t>
  </si>
  <si>
    <t>2D HANDHELD BARCODE SCANNER BS-I201G TVS</t>
  </si>
  <si>
    <t>BARCODE SCANNER BSL 100TVS</t>
  </si>
  <si>
    <t>BARCODE SCANNER BS-I100N  TVS</t>
  </si>
  <si>
    <t>BARCODE SCANNER BS-L150S W/L TVS</t>
  </si>
  <si>
    <t xml:space="preserve">NOTE COUNTING MACHINE </t>
  </si>
  <si>
    <t>CASH COUNTER CC232 CLASSIC PLUS TVS</t>
  </si>
  <si>
    <t>CASH COUNTER CC232 CLASSIC TVS</t>
  </si>
  <si>
    <t>CASH COUNTER CC-453 STAR PLUS TVS</t>
  </si>
  <si>
    <t>PRINTER</t>
  </si>
  <si>
    <t>PRINTER MSP 270 CLASIC PLUS TVS</t>
  </si>
  <si>
    <t xml:space="preserve">THERMAL PRINTER </t>
  </si>
  <si>
    <t>PRINTER RP 3200 PLUS TVS</t>
  </si>
  <si>
    <t>PRNITER RP 3160 GOLD TVS</t>
  </si>
  <si>
    <t xml:space="preserve">PRINTER RP 3200 LITE </t>
  </si>
  <si>
    <t>RECEIPT PRINTER RP 3230 TVS</t>
  </si>
  <si>
    <t>RECEIPT PRINTER RP 3230 WI-FI  TVS</t>
  </si>
  <si>
    <t>MOUSE TVS</t>
  </si>
  <si>
    <t>MOUSE WIRED CHAMP M120 TVS</t>
  </si>
  <si>
    <t xml:space="preserve">KEYBOARD TVS </t>
  </si>
  <si>
    <t xml:space="preserve">USB GOLD TVS </t>
  </si>
  <si>
    <t>WIRELESS KEYBOARD MOUSE COMBO GOLD PLATINA TVS</t>
  </si>
  <si>
    <t xml:space="preserve">TVS USB CHAMP KEYBOARD </t>
  </si>
  <si>
    <t>PRINT HEAD 9WIRE 240CI 9 W-L W/O CABLE TVS</t>
  </si>
  <si>
    <t>TFT ACER JUNE   2026</t>
  </si>
  <si>
    <t>TFT MONITOR 21.5 INCH EK220Q EBI IPS ACER</t>
  </si>
  <si>
    <t>TFT MONITOR 21.5 IPS EK220QE3ABI ACER</t>
  </si>
  <si>
    <t>TFT MONITOR 22" EK220Q J0BI ACER</t>
  </si>
  <si>
    <t>TFT MONITOR 24" 23.8H SA242Y ACER</t>
  </si>
  <si>
    <t>TFT MONITOR 24" EK251Q P6BI IPS ACER</t>
  </si>
  <si>
    <t>TFT MONITOR 27" VG270 X1BMIIPX ACER</t>
  </si>
  <si>
    <t>TFT MONITOR 32 INCH ED320QR ACER</t>
  </si>
  <si>
    <t xml:space="preserve"> D-LINK JUNE  2026</t>
  </si>
  <si>
    <t xml:space="preserve">RATE </t>
  </si>
  <si>
    <t xml:space="preserve">CABLE </t>
  </si>
  <si>
    <t>CAT VI CABLE 305 METER D-LINK</t>
  </si>
  <si>
    <t xml:space="preserve">100 MTR CABLE D-LINK </t>
  </si>
  <si>
    <t xml:space="preserve">CONECTOR DLINK </t>
  </si>
  <si>
    <t xml:space="preserve">RJ 45 CONECTOR </t>
  </si>
  <si>
    <t xml:space="preserve">ROUTER </t>
  </si>
  <si>
    <t>ROUTER AC1200 4 ANTEENA DIR -825 D-LINK</t>
  </si>
  <si>
    <t>ROUTER AC3000 WI-FI TRI BAND DIR-3040 D-LINK</t>
  </si>
  <si>
    <t>ROUTER WIRELESS DIR 615 D- LINK</t>
  </si>
  <si>
    <t xml:space="preserve">SWITCH </t>
  </si>
  <si>
    <t>SWITCH 8 PORT
GIGABIT 10/100/1000
DGS-1008A D-LINK</t>
  </si>
  <si>
    <t>SWITCH 16 PORT 10/100BT DES-1016 D- LINK</t>
  </si>
  <si>
    <t>SWITCH 24 PORT GIGABIT DGS-1024 D-LINK</t>
  </si>
  <si>
    <t>SWITCH 5 PORT DES1005 D-LINK</t>
  </si>
  <si>
    <t>SWITCH 5 PORT GIGABIT DGS-1005A D-LINK</t>
  </si>
  <si>
    <t>SWITCH 8 PORT DES-1008A D- LINK</t>
  </si>
  <si>
    <t>SWITCH 16 PORT GIGABIT DGS-1016S D-LINK</t>
  </si>
  <si>
    <t>SWITCH 24 PORT NORMAL DES-1024 D-LINK</t>
  </si>
  <si>
    <t>KYIRO JUNE  2026</t>
  </si>
  <si>
    <t>USB HUB 4 PORT 1.5 MTR MI4PUH KYIRO</t>
  </si>
  <si>
    <t>HDMI CABLE 2K 1.5MTR (MI14H1.5M) KYIRO</t>
  </si>
  <si>
    <t>HDMI CABLE 2K 3MTR (MI14H03M) KYIRO</t>
  </si>
  <si>
    <t>HDMI CABLE 2K 5 MTR MI14H05M KYIRO</t>
  </si>
  <si>
    <t>HDMI CABLE 4K 1.5 MTR P (MI19H1.5 MP ) KYIRO</t>
  </si>
  <si>
    <t>HDMI CABLE 4K 3MTR P (MI19H03MP) KYIRO</t>
  </si>
  <si>
    <t>HDMI CABLE 4K 10MTR P (MI19H10MP) KYIRO</t>
  </si>
  <si>
    <t xml:space="preserve">HDMI CABLE 1.5 MTR ECO </t>
  </si>
  <si>
    <t>HDMI CABLE 4K 5MTR P (MI19H05MP) KYIRO</t>
  </si>
  <si>
    <t>PATCH CORD CABLE 1MTR (MI1MPC) KYIRO</t>
  </si>
  <si>
    <t>PATCH CORD CABLE 2MTR (MI2MPC) KYIRO</t>
  </si>
  <si>
    <t>PATCH CORD CABLE 3MTR MI3MPC KYIRO</t>
  </si>
  <si>
    <t>PATCH CORD CABLE 5MTR (MI5MPC) KYIRO</t>
  </si>
  <si>
    <t>RJ 45 CONNECTOR CAT 6 MIRJ45U KYIRO</t>
  </si>
  <si>
    <t xml:space="preserve">SPIKE BUSTER 5 MTR KYIRO </t>
  </si>
  <si>
    <t xml:space="preserve">SPIKE BUSTER 5 SOCKETSURGE  KYIRO 2 MTR </t>
  </si>
  <si>
    <t>SWITCH 5 PORT GIGABIT KYIRO</t>
  </si>
  <si>
    <t>SWITCH 5 PORT NORMAL KYIRO</t>
  </si>
  <si>
    <t>SWITCH 8 PORT GIGABIT KYIRO</t>
  </si>
  <si>
    <t>SWITCH 8 PORT NORMAL KYIRO</t>
  </si>
  <si>
    <t xml:space="preserve">HDMI EXTENDER KYIRO </t>
  </si>
  <si>
    <t>HDMI EXTENDER 60MTR KVM  MIHKE60M KYIRO</t>
  </si>
  <si>
    <t>HDMI EXTENDER 60MTR MIHE60M KYIRO</t>
  </si>
  <si>
    <t>HDMI EXTENDER 30MTR MIHE30M KYIRO</t>
  </si>
  <si>
    <t>CCTV UPS MISUPS KYIRO</t>
  </si>
  <si>
    <t xml:space="preserve">ROUTER MINI UPS </t>
  </si>
  <si>
    <t xml:space="preserve">ADAPTER </t>
  </si>
  <si>
    <t>POWER ADAPTER 12V2AMP KYIRO</t>
  </si>
  <si>
    <t>POWER ADAPTER 12V3AMP KYIRO</t>
  </si>
  <si>
    <t>POWER ADAPTER 12V5AMP KYIRO</t>
  </si>
  <si>
    <t>Total Security Regular 1 User(1yr)</t>
  </si>
  <si>
    <t>Total Security</t>
  </si>
  <si>
    <t>TR1</t>
  </si>
  <si>
    <t>New</t>
  </si>
  <si>
    <t>Festival pack, Sep'18</t>
  </si>
  <si>
    <t>TR1FE</t>
  </si>
  <si>
    <t>Total Security Standard 1 User (3yr)</t>
  </si>
  <si>
    <t>TS1</t>
  </si>
  <si>
    <t>Total Security Standard 2 User (3yr)</t>
  </si>
  <si>
    <t>TS2</t>
  </si>
  <si>
    <t>Total Security Regular 2 User(1yr)</t>
  </si>
  <si>
    <t>TR2</t>
  </si>
  <si>
    <t>Total Security Standard 3 User (3yr)</t>
  </si>
  <si>
    <t>TS3</t>
  </si>
  <si>
    <t>Total Security Regular 3 User(1yr)</t>
  </si>
  <si>
    <t>TR3</t>
  </si>
  <si>
    <t>Total Security Standard 5 User (3yr)</t>
  </si>
  <si>
    <t>TS5</t>
  </si>
  <si>
    <t>Total Security Regular 5 User(1yr)</t>
  </si>
  <si>
    <t>TR5</t>
  </si>
  <si>
    <t>Total Security Standard 10 User (3yr)</t>
  </si>
  <si>
    <t>TS10</t>
  </si>
  <si>
    <t>Total Security Regular 10 User(1yr)</t>
  </si>
  <si>
    <t>TR10</t>
  </si>
  <si>
    <t>Upgrade Total Security Standard 1 User (3yr)</t>
  </si>
  <si>
    <t>TS1UP</t>
  </si>
  <si>
    <t>Renew</t>
  </si>
  <si>
    <t>Upgrade Total Security Regular 1 User  (1yr)</t>
  </si>
  <si>
    <t>TR1UP</t>
  </si>
  <si>
    <t>Total Security Standard 2 Users Upgrade</t>
  </si>
  <si>
    <t>TS2UP</t>
  </si>
  <si>
    <t>Total Security Regular 2 Users Upgrade</t>
  </si>
  <si>
    <t>TR2UP</t>
  </si>
  <si>
    <t>Upgrade Total Security Standard 5 User (3yr)</t>
  </si>
  <si>
    <t>TS5UP</t>
  </si>
  <si>
    <t>Upgrade Total Security Regular 5 User  (1yr)</t>
  </si>
  <si>
    <t>TR5UP</t>
  </si>
  <si>
    <t>Upgrade Total Security Standard 10 User  (3yr)</t>
  </si>
  <si>
    <t>TS10UP</t>
  </si>
  <si>
    <t>Upgrade Total Security Regular 10 User  (1yr)</t>
  </si>
  <si>
    <t>TR10UP</t>
  </si>
  <si>
    <t>Internet Security Standard 1 User  (3yr)</t>
  </si>
  <si>
    <t>Internet Security</t>
  </si>
  <si>
    <t>IS1</t>
  </si>
  <si>
    <t>Internet Security Regular 1 User (1yr)</t>
  </si>
  <si>
    <t>IR1</t>
  </si>
  <si>
    <t>Internet Security Standard 2 User  (3yr)</t>
  </si>
  <si>
    <t>IS2</t>
  </si>
  <si>
    <t>Internet Security Regular 2 User (1yr)</t>
  </si>
  <si>
    <t>IR2</t>
  </si>
  <si>
    <t>Internet Security Standard 3 User (3yr)</t>
  </si>
  <si>
    <t>IS3</t>
  </si>
  <si>
    <t>Internet Security Regular 3 User(1yr)</t>
  </si>
  <si>
    <t>IR3</t>
  </si>
  <si>
    <t>Internet Security Standard 5 User (3yr)</t>
  </si>
  <si>
    <t>IS5</t>
  </si>
  <si>
    <t>Internet Security Regular 5 User(1yr)</t>
  </si>
  <si>
    <t>IR5</t>
  </si>
  <si>
    <t>Internet Security Standard 10 User (3yr)</t>
  </si>
  <si>
    <t>IS10</t>
  </si>
  <si>
    <t>Internet Security Regular 10 User(1yr)</t>
  </si>
  <si>
    <t>IR10</t>
  </si>
  <si>
    <t>Upgrade Internet Security Standard 1 User  (3yr)</t>
  </si>
  <si>
    <t>IS1UP</t>
  </si>
  <si>
    <t>Upgrade Internet Security Regular 1 User (1yr)</t>
  </si>
  <si>
    <t>IR1UP</t>
  </si>
  <si>
    <t>Internet Security Premium Standard 2 Users Upgrade</t>
  </si>
  <si>
    <t>IS2UP</t>
  </si>
  <si>
    <t>Internet Security Regular 2 Users Upgrade</t>
  </si>
  <si>
    <t>IR2UP</t>
  </si>
  <si>
    <t>Upgrade Internet Security Standard 5 User  (3yr)</t>
  </si>
  <si>
    <t>IS5UP</t>
  </si>
  <si>
    <t>Upgrade Internet Security Regular 5 User  (1yr)</t>
  </si>
  <si>
    <t>IR5UP</t>
  </si>
  <si>
    <t>Upgrade Internet Security Standard 10 User (3yr)</t>
  </si>
  <si>
    <t>IS10UP</t>
  </si>
  <si>
    <t>Upgrade Internet Security Regular 10 User (1yr)</t>
  </si>
  <si>
    <t>IR10UP</t>
  </si>
  <si>
    <t>Internet Security Essential Regular 1 User</t>
  </si>
  <si>
    <t>Internet Security  Essential</t>
  </si>
  <si>
    <t>IER1</t>
  </si>
  <si>
    <t>Product desception</t>
  </si>
  <si>
    <t>Product family</t>
  </si>
  <si>
    <t>Product code</t>
  </si>
  <si>
    <t>Produc Type</t>
  </si>
  <si>
    <t>Users</t>
  </si>
  <si>
    <t>PDTP (T1 price without tax)</t>
  </si>
  <si>
    <t>Anti Virus Pro for 1 User (3yr)</t>
  </si>
  <si>
    <t>Antivirus Pro</t>
  </si>
  <si>
    <t>LS1</t>
  </si>
  <si>
    <t>Anti Virus Pro for 1 User (1yr)</t>
  </si>
  <si>
    <t>LR1</t>
  </si>
  <si>
    <t>Anti Virus Pro for 2 User (3yr)</t>
  </si>
  <si>
    <t>LS2</t>
  </si>
  <si>
    <t>Anti Virus Pro for 2 User (1yr)</t>
  </si>
  <si>
    <t>LR2</t>
  </si>
  <si>
    <t>Anti Virus Pro for 3 User (1yr)</t>
  </si>
  <si>
    <t>LR3</t>
  </si>
  <si>
    <t>Anti Virus Pro for 5 User(1yr)</t>
  </si>
  <si>
    <t>LR5</t>
  </si>
  <si>
    <t>Anti Virus Pro for 10 User (3yr)</t>
  </si>
  <si>
    <t>LS10</t>
  </si>
  <si>
    <t>Anti Virus Pro for 10 User (1yr)</t>
  </si>
  <si>
    <t>LR10</t>
  </si>
  <si>
    <t>Upgrade Anti Virus Pro Standard 1 User  (3yr)</t>
  </si>
  <si>
    <t>LS1UP</t>
  </si>
  <si>
    <t>Upgrade Anti Virus Pro Regular 1 User (1yr)</t>
  </si>
  <si>
    <t>LR1UP</t>
  </si>
  <si>
    <t>Antivirus Pro Standard 2 Users Upgrade</t>
  </si>
  <si>
    <t>LS2UP</t>
  </si>
  <si>
    <t>Antivirus Pro Regular 2 Users Upgrade</t>
  </si>
  <si>
    <t>LR2UP</t>
  </si>
  <si>
    <t>Upgrade Anti Virus Pro Standard 5 User  (3yr)</t>
  </si>
  <si>
    <t>LS5UP</t>
  </si>
  <si>
    <t>Upgrade Anti Virus Pro Regular 5 User (1yr)</t>
  </si>
  <si>
    <t>LR5UP</t>
  </si>
  <si>
    <t>Upgrade Anti Virus Pro Standard 10 User  (3yr)</t>
  </si>
  <si>
    <t>LS10UP</t>
  </si>
  <si>
    <t>Upgrade Anti Virus Pro Regular 10 User(1yr)</t>
  </si>
  <si>
    <t>LR10UP</t>
  </si>
  <si>
    <t>Anti Virus for Server Standard  (3yr)</t>
  </si>
  <si>
    <t>Server</t>
  </si>
  <si>
    <t>ES1</t>
  </si>
  <si>
    <t>Anti Virus for Server Regular (1yr)</t>
  </si>
  <si>
    <t>ER1</t>
  </si>
  <si>
    <t>Upgrade Anti Virus for Server Standard  (3yr)</t>
  </si>
  <si>
    <t>ES1UP</t>
  </si>
  <si>
    <t>Upgrade Anti Virus for Server Regular (1yr)</t>
  </si>
  <si>
    <t>ER1UP</t>
  </si>
  <si>
    <t>Guardian Total security 1user (1yr)</t>
  </si>
  <si>
    <t>Guardian</t>
  </si>
  <si>
    <t>GRTS1</t>
  </si>
  <si>
    <t>Guardian Internet security 1user (1yr)</t>
  </si>
  <si>
    <t>GRIS1</t>
  </si>
  <si>
    <t>Guardian NET secure 1user (1yr)</t>
  </si>
  <si>
    <t>GAV1</t>
  </si>
  <si>
    <t>Guardian NET secure 10user (1yr)</t>
  </si>
  <si>
    <t>GAV10</t>
  </si>
  <si>
    <t>Quick Heal Total Security For Mac Regular 1 pc (1yr)</t>
  </si>
  <si>
    <t>Mac Regular</t>
  </si>
  <si>
    <t>MR1</t>
  </si>
  <si>
    <t>Lifetime Total Security</t>
  </si>
  <si>
    <t>Mobile</t>
  </si>
  <si>
    <t>MTS1</t>
  </si>
  <si>
    <t>1 Year Total Security</t>
  </si>
  <si>
    <t>MTR1</t>
  </si>
  <si>
    <t>PC Tuner</t>
  </si>
  <si>
    <t>PC Tune</t>
  </si>
  <si>
    <t>P1</t>
  </si>
  <si>
    <r>
      <t>QUICK HEAL PRICE LIST (JUNE 26)</t>
    </r>
    <r>
      <rPr>
        <b/>
        <sz val="22"/>
        <color rgb="FF00B050"/>
        <rFont val="Calibri"/>
        <family val="2"/>
        <scheme val="minor"/>
      </rPr>
      <t>DEALER RATE 12% LESS</t>
    </r>
  </si>
  <si>
    <t>NORMAL CABINET WITH SMPS IVOOMI</t>
  </si>
  <si>
    <t>CABINET WITH OUT SMPS IVOOMI</t>
  </si>
  <si>
    <t>KEYBOARD IVOOMI</t>
  </si>
  <si>
    <t>KEYBOARD USB VENOM IVOOMI</t>
  </si>
  <si>
    <t>USB KEYBOARD HERO IVOOMI</t>
  </si>
  <si>
    <t>USB KEYBOARD QUEST IVOOMI</t>
  </si>
  <si>
    <t>USB WIRED KEYBOARD MICKEY IVOOMI</t>
  </si>
  <si>
    <t>USB WIRED KEYBOARD PLUTO IVOOMI</t>
  </si>
  <si>
    <t>WIRED KEYBOARD MOUSE COMBO CAPTAIN IVOOMI</t>
  </si>
  <si>
    <t>WIRED KEYBOARD MOUSE COMBO SUPER IVOOMI</t>
  </si>
  <si>
    <t>WIRELESS KEYBOARD MOUSE COMBO SPICE IVOOMI</t>
  </si>
  <si>
    <t>WIRELESS USB KEYBOARD MOUSE COMBO COSMO IVOOMI</t>
  </si>
  <si>
    <t>LAN ADAPTOR IVOOMI</t>
  </si>
  <si>
    <t>USB LAN CARD 150MBPS FLASH -300  IVOOMI</t>
  </si>
  <si>
    <t>USB WIFI DONGLE 5G +BLUETOOTH IVOOMI</t>
  </si>
  <si>
    <t>USB WIFI LAN ADAPTER 300 MBPS FLASH 600 IVOOMI</t>
  </si>
  <si>
    <t>MICRO SD CARD IVOOMI</t>
  </si>
  <si>
    <t>MOUSE IVOOMI</t>
  </si>
  <si>
    <t>MOUSE WIRELESS BREE IVOOMI</t>
  </si>
  <si>
    <t>MOUSE WIRELESS HANK BLACK IVOOMI</t>
  </si>
  <si>
    <t>MOUSE WIRELESS HANK GREEN IVOOMI</t>
  </si>
  <si>
    <t>MOUSE WIRELESS IV-WM01 LUXURE IVOOMI</t>
  </si>
  <si>
    <t>MOUSE WIRELESS SORA  IVOOMI</t>
  </si>
  <si>
    <t>USB MOUSE LASER IVOOMI</t>
  </si>
  <si>
    <t>USB WIRED MOUSE PRIDE IVOOMI</t>
  </si>
  <si>
    <t>WIRED USB MOUSE BOLD IVOOMI</t>
  </si>
  <si>
    <t>TFT IVOOMI</t>
  </si>
  <si>
    <t>TFT 19' INCH LED WITH HDMI  IVOOMI</t>
  </si>
  <si>
    <t>TFT MONITOR 17" I VOOMI</t>
  </si>
  <si>
    <t>TFT MONITOR 24" INCH CURVE FREMLESS IVOOMI</t>
  </si>
  <si>
    <t>UPS BATTERY IVOOMI</t>
  </si>
  <si>
    <t>UPS BATTERY 12V7ACH IVOOMI</t>
  </si>
  <si>
    <t>USB HUB IVOOMI</t>
  </si>
  <si>
    <t>USB HUB 4PORT TYPE-C/USB NEXUS 401 IVOOMI</t>
  </si>
  <si>
    <t>USB HUB 7 PORT TYPE-C/USB NEXUS 701 IVOOMI</t>
  </si>
  <si>
    <t>RJ 45 CONECTOR CAT6 RJ45 IVOOMI</t>
  </si>
  <si>
    <t>SMPS 450W  OPUS IVOOMI</t>
  </si>
  <si>
    <t>TONER CARTRIDGE 12A IVOOMI</t>
  </si>
  <si>
    <t>IVOOMI PRICE LIST (JUNE 26)</t>
  </si>
  <si>
    <t>ALL SSD</t>
  </si>
  <si>
    <t>SATA</t>
  </si>
  <si>
    <t>128GB CONSISTENT</t>
  </si>
  <si>
    <t>256GB CONSISTENT</t>
  </si>
  <si>
    <t>256GB EVM</t>
  </si>
  <si>
    <t>256GB LAPCARE</t>
  </si>
  <si>
    <t>512 SATA CONSITENT</t>
  </si>
  <si>
    <t>512 SATA EVM</t>
  </si>
  <si>
    <t>1TB SATA EVM</t>
  </si>
  <si>
    <t>M.2 DOUBLE CUT</t>
  </si>
  <si>
    <t>128GB EVM</t>
  </si>
  <si>
    <t>512EVM</t>
  </si>
  <si>
    <t>NVME SINGLE CUT</t>
  </si>
  <si>
    <t>128NVME EVM</t>
  </si>
  <si>
    <t>256GB NVME CONSISTENT</t>
  </si>
  <si>
    <t>512NVME EVM</t>
  </si>
  <si>
    <t>512 NVME CONSISTENT</t>
  </si>
  <si>
    <t>480 NVME CRUCIAL</t>
  </si>
  <si>
    <t>500gb BLUE WD</t>
  </si>
  <si>
    <t>1TB NVME GREEN</t>
  </si>
  <si>
    <t>STUDDS HELMET OR GAMDIAS GAMING COMBO</t>
  </si>
  <si>
    <t>ON 6 NO</t>
  </si>
  <si>
    <t>16PORT IP NERVE SWITCH OR2D BARCODE IRVINE</t>
  </si>
  <si>
    <t>ON 10 NO</t>
  </si>
  <si>
    <t>GIGABYTEBOARD WITH PROCESSOR OR 19 INCH FOXIN</t>
  </si>
  <si>
    <t>ON 12 NO</t>
  </si>
  <si>
    <t>NOTE 128 IS NOT MORE THAN 50%</t>
  </si>
  <si>
    <t>DDR2</t>
  </si>
  <si>
    <t>FSB</t>
  </si>
  <si>
    <t>2GB D2 DTP</t>
  </si>
  <si>
    <t>EVM</t>
  </si>
  <si>
    <t>DDR3</t>
  </si>
  <si>
    <t>2GB D3LTP</t>
  </si>
  <si>
    <t>1333/1600</t>
  </si>
  <si>
    <t>4GBDDR3 LTP EVM</t>
  </si>
  <si>
    <t>4GBD3 DTP/LTP</t>
  </si>
  <si>
    <t>HYNIX</t>
  </si>
  <si>
    <t>8GBD3 LTP/DTP</t>
  </si>
  <si>
    <t>8GBDDR3 LTP /DTP</t>
  </si>
  <si>
    <t>8GBDDR3 DTP/LTP</t>
  </si>
  <si>
    <t>DGOLD</t>
  </si>
  <si>
    <t>DDR4</t>
  </si>
  <si>
    <t xml:space="preserve">4GBD4 LTP </t>
  </si>
  <si>
    <t>4GBDDR4 DTP LTP</t>
  </si>
  <si>
    <t>SAMSUNG</t>
  </si>
  <si>
    <t>8GBDDR4 DGOLD DTP/LTP</t>
  </si>
  <si>
    <t>8GB DDR4 DTP</t>
  </si>
  <si>
    <t>8GBDDR4 DTP</t>
  </si>
  <si>
    <t>8GBDDR4 GEONIX</t>
  </si>
  <si>
    <t>GEONIX</t>
  </si>
  <si>
    <t>AARVEX</t>
  </si>
  <si>
    <t>8GBDDR4 LTP DAICHI</t>
  </si>
  <si>
    <t>DAICHI</t>
  </si>
  <si>
    <t>2400/2666</t>
  </si>
  <si>
    <t>16GBD4 LTP</t>
  </si>
  <si>
    <t>CRUCIAL</t>
  </si>
  <si>
    <t>16GB D4 DTP</t>
  </si>
  <si>
    <t>16GBDDR4 DTP/LTP DGOLD</t>
  </si>
  <si>
    <t>16GBDDR4 SAMSUNGDTP/LTP</t>
  </si>
  <si>
    <t>32GBDDR4 HYNIX</t>
  </si>
  <si>
    <t>DDR5</t>
  </si>
  <si>
    <t>8GB DDR5 5600 LTP</t>
  </si>
  <si>
    <t>8GB DDR5 DTP</t>
  </si>
  <si>
    <t>16GB DDR5 DTP</t>
  </si>
  <si>
    <t>32GBD5 LTP</t>
  </si>
  <si>
    <t>TRANSCEND</t>
  </si>
  <si>
    <t>2NO KYIRO HUB</t>
  </si>
  <si>
    <t>ON 5 NO</t>
  </si>
  <si>
    <t>5 NO KYIRO HUB</t>
  </si>
  <si>
    <t>10 NO HUB+1000RS BARBEQUE NATION VOUCHER</t>
  </si>
  <si>
    <t>ON 20 NO</t>
  </si>
  <si>
    <t>2GB IS NOT THE PART OF SCHEME</t>
  </si>
  <si>
    <t>ALL RAM'S PRICE LIST (JUNE 26)</t>
  </si>
  <si>
    <t>EPSON</t>
  </si>
  <si>
    <t>3210 PRINTER</t>
  </si>
  <si>
    <t>3250 PRINTER</t>
  </si>
  <si>
    <t>SCHEME</t>
  </si>
  <si>
    <t>5PORT KYIRO SWITCH FREE 2NO WITH EVERY PRINTER</t>
  </si>
  <si>
    <t>EPSON PRINTER PRICE (JUNE 26)</t>
  </si>
  <si>
    <t>EVM PRICE LIST (JUNE 26)</t>
  </si>
  <si>
    <t>EVM KB AND MOUSE</t>
  </si>
  <si>
    <t>WIRELESS MOUSE NEO</t>
  </si>
  <si>
    <t>MOUSE WIRELESS EVM CLASSY 720 BLK WHITE</t>
  </si>
  <si>
    <t>EVM KB WDK 216</t>
  </si>
  <si>
    <t>EVM KB WDK 315</t>
  </si>
  <si>
    <t>EVM WIRELESS COMBO ENKEY</t>
  </si>
  <si>
    <t>W/L KB ENMAGICA TOUCHPAD</t>
  </si>
  <si>
    <t>EVM RECHARGEBALE W/L COMBO ENARCH</t>
  </si>
  <si>
    <t>EVM RECHARGEBLE W/L COMBO ENCLICK</t>
  </si>
  <si>
    <t>GAMING COMBO WDKM 9027</t>
  </si>
  <si>
    <t xml:space="preserve">EVM TOUCH KB </t>
  </si>
  <si>
    <t>BARCODE SCANNER</t>
  </si>
  <si>
    <t>SCANNER EWBS018</t>
  </si>
  <si>
    <t>SCANNER EWLS 126</t>
  </si>
  <si>
    <t>EVM HUB</t>
  </si>
  <si>
    <t>EVM HUB TYPE C</t>
  </si>
  <si>
    <t>WIFI LAN 150</t>
  </si>
  <si>
    <t>WIFI LAN 300</t>
  </si>
  <si>
    <t>WIFI+BT 600</t>
  </si>
  <si>
    <t>UPS 1KVA</t>
  </si>
  <si>
    <t>BATTERY UPS</t>
  </si>
  <si>
    <t>GAMING SPK</t>
  </si>
  <si>
    <t>CABINET</t>
  </si>
  <si>
    <t>CABINET TURBO</t>
  </si>
  <si>
    <t>SMPS</t>
  </si>
  <si>
    <t>MB H61</t>
  </si>
  <si>
    <t>MB H110</t>
  </si>
  <si>
    <t>MB H310</t>
  </si>
  <si>
    <t>MB H610</t>
  </si>
  <si>
    <t>LED 18.5</t>
  </si>
  <si>
    <t>LED 22 INCH</t>
  </si>
  <si>
    <t>EXTERNAL WRITER</t>
  </si>
  <si>
    <t>GAMING CABINET NITRO 540</t>
  </si>
  <si>
    <t>GAMING CABINETNITRO 2.0</t>
  </si>
  <si>
    <t>GAMING CABINET ALPHA 720</t>
  </si>
  <si>
    <t>GAMING CABINET ALPHA 360</t>
  </si>
  <si>
    <t>EVM SATA CASING 3.0</t>
  </si>
  <si>
    <t>EVM 504 FAN</t>
  </si>
  <si>
    <t>SURGE PROTECTOR 4 PIN</t>
  </si>
  <si>
    <t>X3 PROTECTOR 4pin+2usb</t>
  </si>
  <si>
    <t>ENSURE 03 8pin+4usb+2 ctype</t>
  </si>
  <si>
    <t>GRAPHIC CARD 2GB 610</t>
  </si>
  <si>
    <t>GRAPHIC CARD 4GB GT730</t>
  </si>
  <si>
    <t>GRAPHIC CARD 4GB GT740</t>
  </si>
  <si>
    <t>TONNER 12A 88A 78A 2365</t>
  </si>
  <si>
    <t>TONNER337 925</t>
  </si>
  <si>
    <t>TONNER 110</t>
  </si>
  <si>
    <t>TONNER 166A</t>
  </si>
  <si>
    <t xml:space="preserve">8GB RAM </t>
  </si>
  <si>
    <t>BUNDLE3</t>
  </si>
  <si>
    <t>H110 EVM</t>
  </si>
  <si>
    <t>8GB DDR4 D-GOLD</t>
  </si>
  <si>
    <t>I5 6TH</t>
  </si>
  <si>
    <t>I5 4TH</t>
  </si>
  <si>
    <t>COMBO OFFER (JUNE 26)</t>
  </si>
  <si>
    <t>FOC</t>
  </si>
  <si>
    <t>FOC PRODUCT</t>
  </si>
  <si>
    <t>LAZER PRINTER PRICE LIST JUNE 26</t>
  </si>
  <si>
    <t>MODEL</t>
  </si>
  <si>
    <t>SCHEME 3</t>
  </si>
  <si>
    <t>SCHEME 4</t>
  </si>
  <si>
    <t>TINNY DESKTOP PRICE LIST (JUNE 2026)</t>
  </si>
  <si>
    <t>TFT LG PRICE LIST (JUNE 26)</t>
  </si>
  <si>
    <t>EXTERNAL SSD (JUNE 26)</t>
  </si>
  <si>
    <t>LAPCARE PRICE LIST (JUNE 26)</t>
  </si>
  <si>
    <t>DELL PRICE LIST (JUNE 26)</t>
  </si>
  <si>
    <t>UPS BATTERY (JUNE 26)</t>
  </si>
  <si>
    <t>PERIPHERALS HP (JUNE 2026)</t>
  </si>
  <si>
    <t>WD HARD DISK PRICE LIST (JUNE 26)</t>
  </si>
  <si>
    <t>EPSON INK BOTTLE PRICE LIST (JUNE 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</si>
</sst>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rgb="FF000000"/>
      <name val="Aptos Narrow"/>
    </font>
    <font>
      <b/>
      <sz val="28"/>
      <color theme="1"/>
      <name val="Calibri"/>
      <family val="2"/>
      <scheme val="minor"/>
    </font>
    <font>
      <b/>
      <sz val="24"/>
      <color rgb="FF000000"/>
      <name val="Arial"/>
      <family val="2"/>
    </font>
    <font>
      <b/>
      <sz val="20"/>
      <color rgb="FF000000"/>
      <name val="Arial"/>
      <family val="2"/>
    </font>
    <font>
      <b/>
      <sz val="20"/>
      <color theme="1"/>
      <name val="Arial"/>
      <family val="2"/>
    </font>
    <font>
      <b/>
      <sz val="20"/>
      <color theme="1"/>
      <name val="Aptos Narrow"/>
    </font>
    <font>
      <b/>
      <sz val="20"/>
      <color rgb="FF000000"/>
      <name val="Aptos Narrow"/>
    </font>
    <font>
      <sz val="22"/>
      <color theme="1"/>
      <name val="Calibri"/>
      <family val="2"/>
      <scheme val="minor"/>
    </font>
    <font>
      <b/>
      <sz val="14"/>
      <color theme="1"/>
      <name val="Arial"/>
      <family val="2"/>
    </font>
    <font>
      <i/>
      <sz val="14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i/>
      <sz val="14"/>
      <color theme="1"/>
      <name val="Arial"/>
      <family val="2"/>
    </font>
    <font>
      <b/>
      <i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2" fillId="3" borderId="16" xfId="0" applyFont="1" applyFill="1" applyBorder="1"/>
    <xf numFmtId="0" fontId="3" fillId="3" borderId="16" xfId="0" applyFont="1" applyFill="1" applyBorder="1"/>
    <xf numFmtId="0" fontId="2" fillId="0" borderId="16" xfId="0" applyFont="1" applyBorder="1"/>
    <xf numFmtId="0" fontId="3" fillId="0" borderId="16" xfId="0" applyFont="1" applyBorder="1"/>
    <xf numFmtId="0" fontId="2" fillId="0" borderId="16" xfId="0" applyFont="1" applyFill="1" applyBorder="1"/>
    <xf numFmtId="0" fontId="4" fillId="0" borderId="16" xfId="0" applyFont="1" applyBorder="1"/>
    <xf numFmtId="0" fontId="4" fillId="0" borderId="16" xfId="0" applyFont="1" applyFill="1" applyBorder="1"/>
    <xf numFmtId="17" fontId="4" fillId="3" borderId="16" xfId="0" applyNumberFormat="1" applyFont="1" applyFill="1" applyBorder="1"/>
    <xf numFmtId="0" fontId="4" fillId="3" borderId="16" xfId="0" applyFont="1" applyFill="1" applyBorder="1"/>
    <xf numFmtId="17" fontId="4" fillId="3" borderId="16" xfId="0" applyNumberFormat="1" applyFont="1" applyFill="1" applyBorder="1" applyAlignment="1">
      <alignment horizontal="right"/>
    </xf>
    <xf numFmtId="0" fontId="3" fillId="6" borderId="16" xfId="0" applyFont="1" applyFill="1" applyBorder="1" applyAlignment="1">
      <alignment horizontal="center" vertical="center"/>
    </xf>
    <xf numFmtId="14" fontId="3" fillId="6" borderId="16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7" fillId="0" borderId="16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3" fillId="3" borderId="1" xfId="0" applyFont="1" applyFill="1" applyBorder="1"/>
    <xf numFmtId="0" fontId="3" fillId="2" borderId="18" xfId="0" applyFont="1" applyFill="1" applyBorder="1"/>
    <xf numFmtId="17" fontId="3" fillId="3" borderId="1" xfId="0" applyNumberFormat="1" applyFont="1" applyFill="1" applyBorder="1"/>
    <xf numFmtId="17" fontId="3" fillId="3" borderId="16" xfId="0" applyNumberFormat="1" applyFont="1" applyFill="1" applyBorder="1"/>
    <xf numFmtId="0" fontId="8" fillId="0" borderId="16" xfId="0" applyFont="1" applyBorder="1"/>
    <xf numFmtId="0" fontId="3" fillId="2" borderId="16" xfId="0" applyFont="1" applyFill="1" applyBorder="1"/>
    <xf numFmtId="0" fontId="3" fillId="0" borderId="16" xfId="0" applyFont="1" applyFill="1" applyBorder="1"/>
    <xf numFmtId="0" fontId="0" fillId="0" borderId="16" xfId="0" applyBorder="1"/>
    <xf numFmtId="0" fontId="3" fillId="0" borderId="16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5" fillId="3" borderId="16" xfId="0" applyFont="1" applyFill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3" fillId="9" borderId="16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/>
    </xf>
    <xf numFmtId="0" fontId="14" fillId="10" borderId="16" xfId="0" applyFont="1" applyFill="1" applyBorder="1" applyAlignment="1">
      <alignment vertical="center"/>
    </xf>
    <xf numFmtId="0" fontId="14" fillId="10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15" fillId="10" borderId="16" xfId="0" applyFont="1" applyFill="1" applyBorder="1" applyAlignment="1">
      <alignment vertical="center"/>
    </xf>
    <xf numFmtId="0" fontId="16" fillId="0" borderId="16" xfId="0" applyFont="1" applyFill="1" applyBorder="1" applyAlignment="1">
      <alignment vertical="center"/>
    </xf>
    <xf numFmtId="0" fontId="16" fillId="0" borderId="16" xfId="0" applyFont="1" applyBorder="1" applyAlignment="1">
      <alignment horizontal="center"/>
    </xf>
    <xf numFmtId="0" fontId="3" fillId="0" borderId="22" xfId="0" applyFont="1" applyFill="1" applyBorder="1"/>
    <xf numFmtId="0" fontId="17" fillId="2" borderId="16" xfId="0" applyFont="1" applyFill="1" applyBorder="1" applyAlignment="1">
      <alignment vertical="center"/>
    </xf>
    <xf numFmtId="0" fontId="17" fillId="2" borderId="16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vertical="center"/>
    </xf>
    <xf numFmtId="0" fontId="14" fillId="2" borderId="16" xfId="0" applyFont="1" applyFill="1" applyBorder="1" applyAlignment="1">
      <alignment vertical="center"/>
    </xf>
    <xf numFmtId="0" fontId="14" fillId="2" borderId="16" xfId="0" applyFont="1" applyFill="1" applyBorder="1" applyAlignment="1">
      <alignment horizontal="center" vertical="center"/>
    </xf>
    <xf numFmtId="0" fontId="14" fillId="10" borderId="23" xfId="0" applyFont="1" applyFill="1" applyBorder="1" applyAlignment="1">
      <alignment horizontal="left" vertical="top"/>
    </xf>
    <xf numFmtId="0" fontId="14" fillId="10" borderId="23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14" fillId="10" borderId="23" xfId="0" applyFont="1" applyFill="1" applyBorder="1" applyAlignment="1">
      <alignment horizontal="right" vertical="center"/>
    </xf>
    <xf numFmtId="0" fontId="14" fillId="10" borderId="25" xfId="0" applyFont="1" applyFill="1" applyBorder="1" applyAlignment="1">
      <alignment horizontal="left" vertical="top"/>
    </xf>
    <xf numFmtId="0" fontId="14" fillId="10" borderId="2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14" fillId="10" borderId="25" xfId="0" applyFont="1" applyFill="1" applyBorder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5" fillId="11" borderId="16" xfId="0" applyFont="1" applyFill="1" applyBorder="1"/>
    <xf numFmtId="0" fontId="9" fillId="0" borderId="16" xfId="0" applyFont="1" applyBorder="1"/>
    <xf numFmtId="0" fontId="8" fillId="12" borderId="1" xfId="0" applyFont="1" applyFill="1" applyBorder="1"/>
    <xf numFmtId="0" fontId="0" fillId="0" borderId="1" xfId="0" applyBorder="1"/>
    <xf numFmtId="0" fontId="8" fillId="0" borderId="1" xfId="0" applyFont="1" applyBorder="1"/>
    <xf numFmtId="0" fontId="10" fillId="0" borderId="1" xfId="0" applyFont="1" applyBorder="1"/>
    <xf numFmtId="0" fontId="9" fillId="0" borderId="1" xfId="0" applyFont="1" applyBorder="1"/>
    <xf numFmtId="0" fontId="3" fillId="13" borderId="1" xfId="0" applyFont="1" applyFill="1" applyBorder="1"/>
    <xf numFmtId="0" fontId="5" fillId="13" borderId="1" xfId="0" applyFont="1" applyFill="1" applyBorder="1"/>
    <xf numFmtId="0" fontId="18" fillId="0" borderId="1" xfId="0" applyFont="1" applyBorder="1"/>
    <xf numFmtId="0" fontId="10" fillId="13" borderId="1" xfId="0" applyFont="1" applyFill="1" applyBorder="1"/>
    <xf numFmtId="49" fontId="19" fillId="0" borderId="1" xfId="0" applyNumberFormat="1" applyFont="1" applyBorder="1" applyAlignment="1">
      <alignment vertical="top"/>
    </xf>
    <xf numFmtId="49" fontId="20" fillId="0" borderId="1" xfId="0" applyNumberFormat="1" applyFont="1" applyBorder="1" applyAlignment="1">
      <alignment horizontal="left" vertical="top" indent="2"/>
    </xf>
    <xf numFmtId="49" fontId="21" fillId="0" borderId="1" xfId="0" applyNumberFormat="1" applyFont="1" applyBorder="1" applyAlignment="1">
      <alignment vertical="top"/>
    </xf>
    <xf numFmtId="0" fontId="22" fillId="0" borderId="1" xfId="0" applyFont="1" applyBorder="1"/>
    <xf numFmtId="0" fontId="8" fillId="3" borderId="1" xfId="0" applyFont="1" applyFill="1" applyBorder="1"/>
    <xf numFmtId="0" fontId="10" fillId="3" borderId="1" xfId="0" applyFont="1" applyFill="1" applyBorder="1"/>
    <xf numFmtId="0" fontId="18" fillId="13" borderId="1" xfId="0" applyFont="1" applyFill="1" applyBorder="1"/>
    <xf numFmtId="0" fontId="22" fillId="13" borderId="1" xfId="0" applyFont="1" applyFill="1" applyBorder="1"/>
    <xf numFmtId="0" fontId="23" fillId="0" borderId="0" xfId="0" applyFont="1" applyFill="1" applyBorder="1" applyAlignment="1">
      <alignment vertical="center"/>
    </xf>
    <xf numFmtId="0" fontId="4" fillId="5" borderId="16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17" fontId="6" fillId="8" borderId="16" xfId="0" applyNumberFormat="1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49" fontId="19" fillId="0" borderId="1" xfId="0" applyNumberFormat="1" applyFont="1" applyBorder="1" applyAlignment="1">
      <alignment vertical="top"/>
    </xf>
    <xf numFmtId="49" fontId="20" fillId="0" borderId="1" xfId="0" applyNumberFormat="1" applyFont="1" applyBorder="1" applyAlignment="1">
      <alignment horizontal="left" vertical="top" indent="2"/>
    </xf>
    <xf numFmtId="0" fontId="8" fillId="13" borderId="27" xfId="0" applyFont="1" applyFill="1" applyBorder="1" applyAlignment="1">
      <alignment horizontal="center"/>
    </xf>
    <xf numFmtId="0" fontId="8" fillId="13" borderId="29" xfId="0" applyFont="1" applyFill="1" applyBorder="1" applyAlignment="1">
      <alignment horizontal="center"/>
    </xf>
    <xf numFmtId="0" fontId="8" fillId="13" borderId="28" xfId="0" applyFont="1" applyFill="1" applyBorder="1" applyAlignment="1">
      <alignment horizontal="center"/>
    </xf>
    <xf numFmtId="0" fontId="18" fillId="12" borderId="27" xfId="0" applyFont="1" applyFill="1" applyBorder="1" applyAlignment="1">
      <alignment horizontal="center"/>
    </xf>
    <xf numFmtId="0" fontId="18" fillId="12" borderId="28" xfId="0" applyFont="1" applyFill="1" applyBorder="1" applyAlignment="1">
      <alignment horizontal="center"/>
    </xf>
    <xf numFmtId="0" fontId="6" fillId="0" borderId="16" xfId="0" applyFont="1" applyBorder="1"/>
    <xf numFmtId="0" fontId="6" fillId="0" borderId="16" xfId="0" applyFont="1" applyFill="1" applyBorder="1"/>
    <xf numFmtId="0" fontId="28" fillId="3" borderId="16" xfId="0" applyFont="1" applyFill="1" applyBorder="1" applyAlignment="1">
      <alignment horizontal="center"/>
    </xf>
    <xf numFmtId="0" fontId="5" fillId="0" borderId="16" xfId="0" applyFont="1" applyBorder="1"/>
    <xf numFmtId="0" fontId="1" fillId="0" borderId="16" xfId="0" applyFont="1" applyBorder="1"/>
    <xf numFmtId="49" fontId="27" fillId="0" borderId="16" xfId="0" applyNumberFormat="1" applyFont="1" applyBorder="1" applyAlignment="1">
      <alignment vertical="top"/>
    </xf>
    <xf numFmtId="49" fontId="19" fillId="0" borderId="16" xfId="0" applyNumberFormat="1" applyFont="1" applyBorder="1" applyAlignment="1">
      <alignment vertical="top"/>
    </xf>
    <xf numFmtId="0" fontId="5" fillId="3" borderId="16" xfId="0" applyFont="1" applyFill="1" applyBorder="1"/>
    <xf numFmtId="0" fontId="3" fillId="3" borderId="16" xfId="0" applyFont="1" applyFill="1" applyBorder="1" applyAlignment="1">
      <alignment horizontal="center"/>
    </xf>
    <xf numFmtId="0" fontId="5" fillId="13" borderId="16" xfId="0" applyFont="1" applyFill="1" applyBorder="1"/>
    <xf numFmtId="0" fontId="7" fillId="13" borderId="16" xfId="0" applyFont="1" applyFill="1" applyBorder="1"/>
    <xf numFmtId="0" fontId="9" fillId="13" borderId="16" xfId="0" applyFont="1" applyFill="1" applyBorder="1" applyAlignment="1">
      <alignment horizontal="center"/>
    </xf>
    <xf numFmtId="0" fontId="3" fillId="13" borderId="16" xfId="0" applyFont="1" applyFill="1" applyBorder="1"/>
    <xf numFmtId="0" fontId="10" fillId="0" borderId="30" xfId="0" applyFont="1" applyBorder="1"/>
    <xf numFmtId="0" fontId="4" fillId="12" borderId="16" xfId="0" applyFont="1" applyFill="1" applyBorder="1"/>
    <xf numFmtId="0" fontId="28" fillId="0" borderId="16" xfId="0" applyFont="1" applyBorder="1"/>
    <xf numFmtId="49" fontId="15" fillId="0" borderId="16" xfId="0" applyNumberFormat="1" applyFont="1" applyBorder="1" applyAlignment="1">
      <alignment vertical="top"/>
    </xf>
    <xf numFmtId="0" fontId="9" fillId="0" borderId="16" xfId="0" applyFont="1" applyFill="1" applyBorder="1"/>
    <xf numFmtId="0" fontId="4" fillId="3" borderId="16" xfId="0" applyFont="1" applyFill="1" applyBorder="1" applyAlignment="1">
      <alignment horizontal="center"/>
    </xf>
    <xf numFmtId="0" fontId="23" fillId="0" borderId="16" xfId="0" applyFont="1" applyBorder="1" applyAlignment="1">
      <alignment vertical="center"/>
    </xf>
    <xf numFmtId="0" fontId="23" fillId="0" borderId="16" xfId="0" applyFont="1" applyBorder="1" applyAlignment="1">
      <alignment horizontal="center" vertical="center"/>
    </xf>
    <xf numFmtId="1" fontId="23" fillId="0" borderId="16" xfId="0" applyNumberFormat="1" applyFont="1" applyBorder="1" applyAlignment="1">
      <alignment horizontal="center" vertical="center"/>
    </xf>
    <xf numFmtId="0" fontId="24" fillId="14" borderId="16" xfId="0" applyFont="1" applyFill="1" applyBorder="1" applyAlignment="1">
      <alignment vertical="center"/>
    </xf>
    <xf numFmtId="0" fontId="24" fillId="14" borderId="16" xfId="0" applyFont="1" applyFill="1" applyBorder="1" applyAlignment="1">
      <alignment horizontal="center" vertical="center"/>
    </xf>
    <xf numFmtId="0" fontId="5" fillId="13" borderId="16" xfId="0" applyFont="1" applyFill="1" applyBorder="1" applyAlignment="1">
      <alignment horizontal="center"/>
    </xf>
    <xf numFmtId="49" fontId="26" fillId="0" borderId="16" xfId="0" applyNumberFormat="1" applyFont="1" applyBorder="1" applyAlignment="1">
      <alignment vertical="top"/>
    </xf>
    <xf numFmtId="49" fontId="29" fillId="0" borderId="16" xfId="0" applyNumberFormat="1" applyFont="1" applyBorder="1" applyAlignment="1">
      <alignment horizontal="left" vertical="top" indent="2"/>
    </xf>
    <xf numFmtId="49" fontId="30" fillId="0" borderId="16" xfId="0" applyNumberFormat="1" applyFont="1" applyBorder="1" applyAlignment="1">
      <alignment horizontal="left" vertical="top" indent="2"/>
    </xf>
    <xf numFmtId="17" fontId="3" fillId="0" borderId="16" xfId="0" applyNumberFormat="1" applyFont="1" applyBorder="1"/>
    <xf numFmtId="17" fontId="9" fillId="0" borderId="16" xfId="0" applyNumberFormat="1" applyFont="1" applyBorder="1"/>
    <xf numFmtId="0" fontId="9" fillId="15" borderId="16" xfId="0" applyFont="1" applyFill="1" applyBorder="1"/>
    <xf numFmtId="0" fontId="9" fillId="2" borderId="16" xfId="0" applyFont="1" applyFill="1" applyBorder="1"/>
    <xf numFmtId="17" fontId="6" fillId="0" borderId="16" xfId="0" applyNumberFormat="1" applyFont="1" applyBorder="1"/>
    <xf numFmtId="17" fontId="7" fillId="13" borderId="16" xfId="0" applyNumberFormat="1" applyFont="1" applyFill="1" applyBorder="1"/>
    <xf numFmtId="17" fontId="2" fillId="3" borderId="16" xfId="0" applyNumberFormat="1" applyFont="1" applyFill="1" applyBorder="1" applyAlignment="1">
      <alignment horizontal="right"/>
    </xf>
    <xf numFmtId="0" fontId="3" fillId="3" borderId="16" xfId="0" applyFont="1" applyFill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0" borderId="16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3" fillId="3" borderId="16" xfId="0" applyFont="1" applyFill="1" applyBorder="1" applyAlignment="1">
      <alignment horizontal="center"/>
    </xf>
    <xf numFmtId="0" fontId="3" fillId="4" borderId="16" xfId="0" applyFont="1" applyFill="1" applyBorder="1"/>
    <xf numFmtId="0" fontId="5" fillId="0" borderId="16" xfId="0" applyFont="1" applyFill="1" applyBorder="1"/>
    <xf numFmtId="0" fontId="5" fillId="16" borderId="16" xfId="0" applyFont="1" applyFill="1" applyBorder="1"/>
    <xf numFmtId="0" fontId="1" fillId="0" borderId="0" xfId="0" applyFont="1" applyBorder="1"/>
    <xf numFmtId="0" fontId="5" fillId="0" borderId="16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="85" zoomScaleNormal="85" workbookViewId="0">
      <selection activeCell="G5" sqref="G5"/>
    </sheetView>
  </sheetViews>
  <sheetFormatPr defaultColWidth="11" defaultRowHeight="15.75"/>
  <cols>
    <col min="1" max="1" width="15" bestFit="1" customWidth="1"/>
    <col min="2" max="5" width="14.25" style="149" customWidth="1"/>
  </cols>
  <sheetData>
    <row r="1" spans="1:5" ht="27" thickBot="1">
      <c r="A1" s="16" t="s">
        <v>0</v>
      </c>
      <c r="B1" s="143">
        <v>46174</v>
      </c>
      <c r="C1" s="144" t="s">
        <v>22</v>
      </c>
      <c r="D1" s="144" t="s">
        <v>23</v>
      </c>
      <c r="E1" s="144" t="s">
        <v>1</v>
      </c>
    </row>
    <row r="2" spans="1:5" ht="27" thickBot="1">
      <c r="A2" s="18" t="s">
        <v>2</v>
      </c>
      <c r="B2" s="145">
        <v>295</v>
      </c>
      <c r="C2" s="146">
        <v>20</v>
      </c>
      <c r="D2" s="146">
        <v>30</v>
      </c>
      <c r="E2" s="146">
        <f>B2-C2-D2</f>
        <v>245</v>
      </c>
    </row>
    <row r="3" spans="1:5" ht="27" thickBot="1">
      <c r="A3" s="18" t="s">
        <v>3</v>
      </c>
      <c r="B3" s="147">
        <v>450</v>
      </c>
      <c r="C3" s="146">
        <v>20</v>
      </c>
      <c r="D3" s="146">
        <v>30</v>
      </c>
      <c r="E3" s="146">
        <f t="shared" ref="E3:E21" si="0">B3-C3-D3</f>
        <v>400</v>
      </c>
    </row>
    <row r="4" spans="1:5" ht="27" thickBot="1">
      <c r="A4" s="18" t="s">
        <v>4</v>
      </c>
      <c r="B4" s="145">
        <v>365</v>
      </c>
      <c r="C4" s="146">
        <v>20</v>
      </c>
      <c r="D4" s="146">
        <v>30</v>
      </c>
      <c r="E4" s="146">
        <f t="shared" si="0"/>
        <v>315</v>
      </c>
    </row>
    <row r="5" spans="1:5" ht="27" thickBot="1">
      <c r="A5" s="18" t="s">
        <v>5</v>
      </c>
      <c r="B5" s="145">
        <v>525</v>
      </c>
      <c r="C5" s="146">
        <v>20</v>
      </c>
      <c r="D5" s="146">
        <v>30</v>
      </c>
      <c r="E5" s="146">
        <f t="shared" si="0"/>
        <v>475</v>
      </c>
    </row>
    <row r="6" spans="1:5" ht="27" thickBot="1">
      <c r="A6" s="18" t="s">
        <v>6</v>
      </c>
      <c r="B6" s="145">
        <v>575</v>
      </c>
      <c r="C6" s="146">
        <v>20</v>
      </c>
      <c r="D6" s="146">
        <v>30</v>
      </c>
      <c r="E6" s="146">
        <f t="shared" si="0"/>
        <v>525</v>
      </c>
    </row>
    <row r="7" spans="1:5" ht="27" thickBot="1">
      <c r="A7" s="18" t="s">
        <v>7</v>
      </c>
      <c r="B7" s="145">
        <v>1750</v>
      </c>
      <c r="C7" s="146">
        <v>20</v>
      </c>
      <c r="D7" s="146">
        <v>30</v>
      </c>
      <c r="E7" s="146">
        <f t="shared" si="0"/>
        <v>1700</v>
      </c>
    </row>
    <row r="8" spans="1:5" ht="27" thickBot="1">
      <c r="A8" s="18" t="s">
        <v>8</v>
      </c>
      <c r="B8" s="145">
        <v>1850</v>
      </c>
      <c r="C8" s="146">
        <v>20</v>
      </c>
      <c r="D8" s="146">
        <v>30</v>
      </c>
      <c r="E8" s="146">
        <f t="shared" si="0"/>
        <v>1800</v>
      </c>
    </row>
    <row r="9" spans="1:5" ht="27" thickBot="1">
      <c r="A9" s="18" t="s">
        <v>9</v>
      </c>
      <c r="B9" s="145">
        <v>950</v>
      </c>
      <c r="C9" s="146">
        <v>20</v>
      </c>
      <c r="D9" s="146">
        <v>30</v>
      </c>
      <c r="E9" s="146">
        <f t="shared" si="0"/>
        <v>900</v>
      </c>
    </row>
    <row r="10" spans="1:5" ht="27" thickBot="1">
      <c r="A10" s="18" t="s">
        <v>10</v>
      </c>
      <c r="B10" s="145">
        <v>1150</v>
      </c>
      <c r="C10" s="146">
        <v>20</v>
      </c>
      <c r="D10" s="146">
        <v>30</v>
      </c>
      <c r="E10" s="146">
        <f t="shared" si="0"/>
        <v>1100</v>
      </c>
    </row>
    <row r="11" spans="1:5" ht="27" thickBot="1">
      <c r="A11" s="18" t="s">
        <v>11</v>
      </c>
      <c r="B11" s="145">
        <v>1550</v>
      </c>
      <c r="C11" s="146">
        <v>20</v>
      </c>
      <c r="D11" s="146">
        <v>30</v>
      </c>
      <c r="E11" s="146">
        <f t="shared" si="0"/>
        <v>1500</v>
      </c>
    </row>
    <row r="12" spans="1:5" ht="27" thickBot="1">
      <c r="A12" s="18" t="s">
        <v>12</v>
      </c>
      <c r="B12" s="145">
        <v>1850</v>
      </c>
      <c r="C12" s="146">
        <v>20</v>
      </c>
      <c r="D12" s="146">
        <v>30</v>
      </c>
      <c r="E12" s="146">
        <f t="shared" si="0"/>
        <v>1800</v>
      </c>
    </row>
    <row r="13" spans="1:5" ht="27" thickBot="1">
      <c r="A13" s="18" t="s">
        <v>13</v>
      </c>
      <c r="B13" s="145">
        <v>2650</v>
      </c>
      <c r="C13" s="146">
        <v>20</v>
      </c>
      <c r="D13" s="146">
        <v>30</v>
      </c>
      <c r="E13" s="146">
        <f t="shared" si="0"/>
        <v>2600</v>
      </c>
    </row>
    <row r="14" spans="1:5" ht="27" thickBot="1">
      <c r="A14" s="18" t="s">
        <v>14</v>
      </c>
      <c r="B14" s="145">
        <v>5300</v>
      </c>
      <c r="C14" s="146">
        <v>20</v>
      </c>
      <c r="D14" s="146">
        <v>30</v>
      </c>
      <c r="E14" s="146">
        <f t="shared" si="0"/>
        <v>5250</v>
      </c>
    </row>
    <row r="15" spans="1:5" ht="27" thickBot="1">
      <c r="A15" s="18" t="s">
        <v>15</v>
      </c>
      <c r="B15" s="145">
        <v>6500</v>
      </c>
      <c r="C15" s="146">
        <v>20</v>
      </c>
      <c r="D15" s="146">
        <v>30</v>
      </c>
      <c r="E15" s="146">
        <f t="shared" si="0"/>
        <v>6450</v>
      </c>
    </row>
    <row r="16" spans="1:5" ht="27" thickBot="1">
      <c r="A16" s="18" t="s">
        <v>16</v>
      </c>
      <c r="B16" s="145">
        <v>2600</v>
      </c>
      <c r="C16" s="146">
        <v>20</v>
      </c>
      <c r="D16" s="146">
        <v>30</v>
      </c>
      <c r="E16" s="146">
        <f t="shared" si="0"/>
        <v>2550</v>
      </c>
    </row>
    <row r="17" spans="1:5" ht="27" thickBot="1">
      <c r="A17" s="18" t="s">
        <v>17</v>
      </c>
      <c r="B17" s="145">
        <v>2800</v>
      </c>
      <c r="C17" s="146">
        <v>20</v>
      </c>
      <c r="D17" s="146">
        <v>30</v>
      </c>
      <c r="E17" s="146">
        <f t="shared" si="0"/>
        <v>2750</v>
      </c>
    </row>
    <row r="18" spans="1:5" ht="27" thickBot="1">
      <c r="A18" s="18" t="s">
        <v>18</v>
      </c>
      <c r="B18" s="145">
        <v>2900</v>
      </c>
      <c r="C18" s="146">
        <v>20</v>
      </c>
      <c r="D18" s="146">
        <v>30</v>
      </c>
      <c r="E18" s="146">
        <f t="shared" si="0"/>
        <v>2850</v>
      </c>
    </row>
    <row r="19" spans="1:5" ht="27" thickBot="1">
      <c r="A19" s="18" t="s">
        <v>19</v>
      </c>
      <c r="B19" s="145">
        <v>4700</v>
      </c>
      <c r="C19" s="146">
        <v>20</v>
      </c>
      <c r="D19" s="146">
        <v>30</v>
      </c>
      <c r="E19" s="146">
        <f t="shared" si="0"/>
        <v>4650</v>
      </c>
    </row>
    <row r="20" spans="1:5" ht="27" thickBot="1">
      <c r="A20" s="18" t="s">
        <v>20</v>
      </c>
      <c r="B20" s="145">
        <v>5500</v>
      </c>
      <c r="C20" s="146">
        <v>20</v>
      </c>
      <c r="D20" s="146">
        <v>30</v>
      </c>
      <c r="E20" s="146">
        <f t="shared" si="0"/>
        <v>5450</v>
      </c>
    </row>
    <row r="21" spans="1:5" ht="27" thickBot="1">
      <c r="A21" s="20" t="s">
        <v>21</v>
      </c>
      <c r="B21" s="148">
        <v>10000</v>
      </c>
      <c r="C21" s="146">
        <v>20</v>
      </c>
      <c r="D21" s="146">
        <v>30</v>
      </c>
      <c r="E21" s="146">
        <f t="shared" si="0"/>
        <v>9950</v>
      </c>
    </row>
    <row r="22" spans="1:5" ht="27" thickBot="1">
      <c r="A22" s="20" t="s">
        <v>22</v>
      </c>
      <c r="B22" s="146" t="s">
        <v>24</v>
      </c>
      <c r="C22" s="146"/>
      <c r="D22" s="146"/>
      <c r="E22" s="146"/>
    </row>
    <row r="23" spans="1:5" ht="27" thickBot="1">
      <c r="A23" s="20" t="s">
        <v>23</v>
      </c>
      <c r="B23" s="146" t="s">
        <v>25</v>
      </c>
      <c r="C23" s="146"/>
      <c r="D23" s="146"/>
      <c r="E23" s="1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="70" zoomScaleNormal="70" workbookViewId="0"/>
  </sheetViews>
  <sheetFormatPr defaultColWidth="11" defaultRowHeight="15.75"/>
  <cols>
    <col min="1" max="1" width="42.625" bestFit="1" customWidth="1"/>
    <col min="2" max="2" width="45" bestFit="1" customWidth="1"/>
    <col min="3" max="5" width="16.5" bestFit="1" customWidth="1"/>
    <col min="6" max="6" width="11.375" bestFit="1" customWidth="1"/>
  </cols>
  <sheetData>
    <row r="1" spans="1:6" ht="29.25" thickBot="1">
      <c r="A1" s="23">
        <v>46174</v>
      </c>
      <c r="B1" s="25" t="s">
        <v>86</v>
      </c>
      <c r="C1" s="24" t="s">
        <v>22</v>
      </c>
      <c r="D1" s="24" t="s">
        <v>23</v>
      </c>
      <c r="E1" s="24" t="s">
        <v>26</v>
      </c>
      <c r="F1" s="24" t="s">
        <v>1</v>
      </c>
    </row>
    <row r="2" spans="1:6" ht="29.25" thickBot="1">
      <c r="A2" s="21" t="s">
        <v>27</v>
      </c>
      <c r="B2" s="21">
        <v>11500</v>
      </c>
      <c r="C2" s="21">
        <v>850</v>
      </c>
      <c r="D2" s="21">
        <v>500</v>
      </c>
      <c r="E2" s="21">
        <v>300</v>
      </c>
      <c r="F2" s="21">
        <f>B2-C2-D2-E2</f>
        <v>9850</v>
      </c>
    </row>
    <row r="3" spans="1:6" ht="29.25" thickBot="1">
      <c r="A3" s="21" t="s">
        <v>28</v>
      </c>
      <c r="B3" s="21">
        <v>11700</v>
      </c>
      <c r="C3" s="21">
        <v>850</v>
      </c>
      <c r="D3" s="21">
        <v>500</v>
      </c>
      <c r="E3" s="21">
        <v>300</v>
      </c>
      <c r="F3" s="21">
        <f t="shared" ref="F3:F10" si="0">B3-C3-D3-E3</f>
        <v>10050</v>
      </c>
    </row>
    <row r="4" spans="1:6" ht="29.25" thickBot="1">
      <c r="A4" s="21" t="s">
        <v>29</v>
      </c>
      <c r="B4" s="21">
        <v>12700</v>
      </c>
      <c r="C4" s="21">
        <v>850</v>
      </c>
      <c r="D4" s="21">
        <v>500</v>
      </c>
      <c r="E4" s="21">
        <v>300</v>
      </c>
      <c r="F4" s="21">
        <f t="shared" si="0"/>
        <v>11050</v>
      </c>
    </row>
    <row r="5" spans="1:6" ht="29.25" thickBot="1">
      <c r="A5" s="21" t="s">
        <v>30</v>
      </c>
      <c r="B5" s="21">
        <v>14000</v>
      </c>
      <c r="C5" s="21">
        <v>850</v>
      </c>
      <c r="D5" s="21">
        <v>500</v>
      </c>
      <c r="E5" s="21">
        <v>300</v>
      </c>
      <c r="F5" s="21">
        <f t="shared" si="0"/>
        <v>12350</v>
      </c>
    </row>
    <row r="6" spans="1:6" ht="29.25" thickBot="1">
      <c r="A6" s="21" t="s">
        <v>31</v>
      </c>
      <c r="B6" s="21">
        <v>15500</v>
      </c>
      <c r="C6" s="21">
        <v>850</v>
      </c>
      <c r="D6" s="21">
        <v>500</v>
      </c>
      <c r="E6" s="21">
        <v>300</v>
      </c>
      <c r="F6" s="21">
        <f t="shared" si="0"/>
        <v>13850</v>
      </c>
    </row>
    <row r="7" spans="1:6" ht="29.25" thickBot="1">
      <c r="A7" s="21" t="s">
        <v>32</v>
      </c>
      <c r="B7" s="21">
        <v>15700</v>
      </c>
      <c r="C7" s="21">
        <v>850</v>
      </c>
      <c r="D7" s="21">
        <v>500</v>
      </c>
      <c r="E7" s="21">
        <v>300</v>
      </c>
      <c r="F7" s="21">
        <f t="shared" si="0"/>
        <v>14050</v>
      </c>
    </row>
    <row r="8" spans="1:6" ht="29.25" thickBot="1">
      <c r="A8" s="21" t="s">
        <v>33</v>
      </c>
      <c r="B8" s="21">
        <v>21000</v>
      </c>
      <c r="C8" s="21">
        <v>850</v>
      </c>
      <c r="D8" s="21">
        <v>500</v>
      </c>
      <c r="E8" s="21">
        <v>300</v>
      </c>
      <c r="F8" s="21">
        <f t="shared" si="0"/>
        <v>19350</v>
      </c>
    </row>
    <row r="9" spans="1:6" ht="29.25" thickBot="1">
      <c r="A9" s="21" t="s">
        <v>34</v>
      </c>
      <c r="B9" s="21">
        <v>25500</v>
      </c>
      <c r="C9" s="21">
        <v>850</v>
      </c>
      <c r="D9" s="21">
        <v>500</v>
      </c>
      <c r="E9" s="21">
        <v>300</v>
      </c>
      <c r="F9" s="21">
        <f t="shared" si="0"/>
        <v>23850</v>
      </c>
    </row>
    <row r="10" spans="1:6" ht="29.25" thickBot="1">
      <c r="A10" s="21" t="s">
        <v>35</v>
      </c>
      <c r="B10" s="21">
        <v>28000</v>
      </c>
      <c r="C10" s="21">
        <v>850</v>
      </c>
      <c r="D10" s="21">
        <v>500</v>
      </c>
      <c r="E10" s="21">
        <v>300</v>
      </c>
      <c r="F10" s="21">
        <f t="shared" si="0"/>
        <v>26350</v>
      </c>
    </row>
    <row r="11" spans="1:6" ht="29.25" thickBot="1">
      <c r="A11" s="21" t="s">
        <v>36</v>
      </c>
      <c r="B11" s="21"/>
      <c r="C11" s="21"/>
      <c r="D11" s="21"/>
      <c r="E11" s="21"/>
      <c r="F11" s="21"/>
    </row>
    <row r="12" spans="1:6" ht="29.25" thickBot="1">
      <c r="A12" s="21" t="s">
        <v>37</v>
      </c>
      <c r="B12" s="21" t="s">
        <v>38</v>
      </c>
      <c r="C12" s="21"/>
      <c r="D12" s="21"/>
      <c r="E12" s="21"/>
      <c r="F12" s="21"/>
    </row>
    <row r="13" spans="1:6" ht="29.25" thickBot="1">
      <c r="A13" s="22" t="s">
        <v>39</v>
      </c>
      <c r="B13" s="21"/>
      <c r="C13" s="21"/>
      <c r="D13" s="21"/>
      <c r="E13" s="21"/>
      <c r="F13" s="21"/>
    </row>
    <row r="14" spans="1:6" ht="29.25" thickBot="1">
      <c r="A14" s="22" t="s">
        <v>40</v>
      </c>
      <c r="B14" s="21" t="s">
        <v>41</v>
      </c>
      <c r="C14" s="21"/>
      <c r="D14" s="21"/>
      <c r="E14" s="21"/>
      <c r="F14" s="21"/>
    </row>
    <row r="15" spans="1:6" ht="29.25" thickBot="1">
      <c r="A15" s="22" t="s">
        <v>42</v>
      </c>
      <c r="B15" s="21" t="s">
        <v>43</v>
      </c>
      <c r="C15" s="21"/>
      <c r="D15" s="21"/>
      <c r="E15" s="21"/>
      <c r="F15" s="21"/>
    </row>
    <row r="16" spans="1:6" ht="29.25" thickBot="1">
      <c r="A16" s="22" t="s">
        <v>44</v>
      </c>
      <c r="B16" s="21" t="s">
        <v>45</v>
      </c>
      <c r="C16" s="21"/>
      <c r="D16" s="21"/>
      <c r="E16" s="21"/>
      <c r="F16" s="21"/>
    </row>
    <row r="17" spans="1:6" ht="29.25" thickBot="1">
      <c r="A17" s="22" t="s">
        <v>26</v>
      </c>
      <c r="B17" s="21"/>
      <c r="C17" s="21"/>
      <c r="D17" s="21"/>
      <c r="E17" s="21"/>
      <c r="F17" s="21"/>
    </row>
    <row r="18" spans="1:6" ht="29.25" thickBot="1">
      <c r="A18" s="22" t="s">
        <v>46</v>
      </c>
      <c r="B18" s="21" t="s">
        <v>47</v>
      </c>
      <c r="C18" s="21"/>
      <c r="D18" s="21"/>
      <c r="E18" s="21"/>
      <c r="F18" s="21"/>
    </row>
    <row r="19" spans="1:6" ht="29.25" thickBot="1">
      <c r="A19" s="22" t="s">
        <v>48</v>
      </c>
      <c r="B19" s="21" t="s">
        <v>49</v>
      </c>
      <c r="C19" s="21"/>
      <c r="D19" s="21"/>
      <c r="E19" s="21"/>
      <c r="F19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70" zoomScaleNormal="70" workbookViewId="0">
      <selection activeCell="B17" sqref="B17"/>
    </sheetView>
  </sheetViews>
  <sheetFormatPr defaultColWidth="11" defaultRowHeight="15.75"/>
  <cols>
    <col min="1" max="1" width="46.375" bestFit="1" customWidth="1"/>
    <col min="2" max="2" width="24.125" bestFit="1" customWidth="1"/>
    <col min="3" max="3" width="33" bestFit="1" customWidth="1"/>
    <col min="4" max="4" width="39.625" bestFit="1" customWidth="1"/>
    <col min="5" max="5" width="12.125" bestFit="1" customWidth="1"/>
  </cols>
  <sheetData>
    <row r="1" spans="1:5" ht="34.5" thickBot="1">
      <c r="A1" s="111" t="s">
        <v>844</v>
      </c>
      <c r="B1" s="111"/>
      <c r="C1" s="111"/>
      <c r="D1" s="111"/>
      <c r="E1" s="111"/>
    </row>
    <row r="2" spans="1:5" ht="32.25" thickBot="1">
      <c r="A2" s="1"/>
      <c r="B2" s="1"/>
      <c r="C2" s="1"/>
      <c r="D2" s="1"/>
      <c r="E2" s="1"/>
    </row>
    <row r="3" spans="1:5" ht="31.5">
      <c r="A3" s="2" t="s">
        <v>76</v>
      </c>
      <c r="B3" s="3" t="s">
        <v>77</v>
      </c>
      <c r="C3" s="3" t="s">
        <v>78</v>
      </c>
      <c r="D3" s="3" t="s">
        <v>79</v>
      </c>
      <c r="E3" s="4" t="s">
        <v>80</v>
      </c>
    </row>
    <row r="4" spans="1:5" ht="32.25" thickBot="1">
      <c r="A4" s="5" t="s">
        <v>81</v>
      </c>
      <c r="B4" s="6">
        <v>990</v>
      </c>
      <c r="C4" s="6">
        <v>1490</v>
      </c>
      <c r="D4" s="6">
        <v>2490</v>
      </c>
      <c r="E4" s="7">
        <v>1090</v>
      </c>
    </row>
    <row r="5" spans="1:5" ht="32.25" thickBot="1">
      <c r="A5" s="1"/>
      <c r="B5" s="1"/>
      <c r="C5" s="1"/>
      <c r="D5" s="1"/>
      <c r="E5" s="1"/>
    </row>
    <row r="6" spans="1:5" ht="31.5">
      <c r="A6" s="8" t="s">
        <v>82</v>
      </c>
      <c r="B6" s="9" t="s">
        <v>83</v>
      </c>
      <c r="C6" s="9" t="s">
        <v>78</v>
      </c>
      <c r="D6" s="9" t="s">
        <v>79</v>
      </c>
      <c r="E6" s="10" t="s">
        <v>843</v>
      </c>
    </row>
    <row r="7" spans="1:5" ht="32.25" thickBot="1">
      <c r="A7" s="11" t="s">
        <v>81</v>
      </c>
      <c r="B7" s="12">
        <v>1390</v>
      </c>
      <c r="C7" s="12">
        <v>1490</v>
      </c>
      <c r="D7" s="12">
        <v>2490</v>
      </c>
      <c r="E7" s="13">
        <v>1390</v>
      </c>
    </row>
    <row r="8" spans="1:5" ht="32.25" thickBot="1">
      <c r="A8" s="1"/>
      <c r="B8" s="1"/>
      <c r="C8" s="1"/>
      <c r="D8" s="1"/>
      <c r="E8" s="1"/>
    </row>
    <row r="9" spans="1:5" ht="32.25" thickBot="1">
      <c r="A9" s="109" t="s">
        <v>839</v>
      </c>
      <c r="B9" s="109" t="s">
        <v>840</v>
      </c>
      <c r="C9" s="109" t="s">
        <v>841</v>
      </c>
      <c r="D9" s="109" t="s">
        <v>79</v>
      </c>
      <c r="E9" s="109" t="s">
        <v>842</v>
      </c>
    </row>
    <row r="10" spans="1:5" ht="32.25" thickBot="1">
      <c r="A10" s="110" t="s">
        <v>81</v>
      </c>
      <c r="B10" s="109">
        <v>3890</v>
      </c>
      <c r="C10" s="109">
        <v>2990</v>
      </c>
      <c r="D10" s="109">
        <v>2490</v>
      </c>
      <c r="E10" s="109">
        <v>1790</v>
      </c>
    </row>
    <row r="11" spans="1:5" ht="32.25" thickBot="1">
      <c r="B11" s="1"/>
      <c r="C11" s="1"/>
      <c r="D11" s="1"/>
      <c r="E11" s="1"/>
    </row>
    <row r="12" spans="1:5" ht="31.5">
      <c r="A12" s="14" t="s">
        <v>84</v>
      </c>
    </row>
    <row r="13" spans="1:5" ht="32.25" thickBot="1">
      <c r="A13" s="15" t="s">
        <v>85</v>
      </c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13" zoomScale="85" zoomScaleNormal="85" workbookViewId="0">
      <selection activeCell="H25" sqref="H25"/>
    </sheetView>
  </sheetViews>
  <sheetFormatPr defaultColWidth="11" defaultRowHeight="15.75"/>
  <cols>
    <col min="1" max="1" width="14" bestFit="1" customWidth="1"/>
    <col min="2" max="2" width="21.625" bestFit="1" customWidth="1"/>
    <col min="3" max="3" width="15" bestFit="1" customWidth="1"/>
    <col min="4" max="4" width="14.125" bestFit="1" customWidth="1"/>
    <col min="5" max="5" width="8.625" bestFit="1" customWidth="1"/>
    <col min="6" max="6" width="11.625" bestFit="1" customWidth="1"/>
  </cols>
  <sheetData>
    <row r="1" spans="1:6" ht="27" thickBot="1">
      <c r="A1" s="150" t="s">
        <v>847</v>
      </c>
      <c r="B1" s="150"/>
      <c r="C1" s="150"/>
      <c r="D1" s="150"/>
      <c r="E1" s="150"/>
      <c r="F1" s="150"/>
    </row>
    <row r="2" spans="1:6" ht="27" thickBot="1">
      <c r="A2" s="151" t="s">
        <v>848</v>
      </c>
      <c r="B2" s="151" t="s">
        <v>86</v>
      </c>
      <c r="C2" s="151" t="s">
        <v>22</v>
      </c>
      <c r="D2" s="151" t="s">
        <v>50</v>
      </c>
      <c r="E2" s="151" t="s">
        <v>51</v>
      </c>
      <c r="F2" s="151" t="s">
        <v>1</v>
      </c>
    </row>
    <row r="3" spans="1:6" ht="24" thickBot="1">
      <c r="A3" s="112" t="s">
        <v>52</v>
      </c>
      <c r="B3" s="152">
        <v>15000</v>
      </c>
      <c r="C3" s="112">
        <v>850</v>
      </c>
      <c r="D3" s="112">
        <v>350</v>
      </c>
      <c r="E3" s="112">
        <f t="shared" ref="E3:E22" si="0">1*B3/100</f>
        <v>150</v>
      </c>
      <c r="F3" s="112">
        <f>B3-C3-D3-E3</f>
        <v>13650</v>
      </c>
    </row>
    <row r="4" spans="1:6" ht="24" thickBot="1">
      <c r="A4" s="112" t="s">
        <v>53</v>
      </c>
      <c r="B4" s="152">
        <v>18500</v>
      </c>
      <c r="C4" s="112">
        <v>850</v>
      </c>
      <c r="D4" s="112">
        <v>350</v>
      </c>
      <c r="E4" s="112">
        <f t="shared" si="0"/>
        <v>185</v>
      </c>
      <c r="F4" s="112">
        <f t="shared" ref="F4:F22" si="1">B4-C4-D4-E4</f>
        <v>17115</v>
      </c>
    </row>
    <row r="5" spans="1:6" ht="24" thickBot="1">
      <c r="A5" s="112" t="s">
        <v>54</v>
      </c>
      <c r="B5" s="152">
        <v>23000</v>
      </c>
      <c r="C5" s="112">
        <v>850</v>
      </c>
      <c r="D5" s="112">
        <v>350</v>
      </c>
      <c r="E5" s="112">
        <f t="shared" si="0"/>
        <v>230</v>
      </c>
      <c r="F5" s="112">
        <f t="shared" si="1"/>
        <v>21570</v>
      </c>
    </row>
    <row r="6" spans="1:6" ht="24" thickBot="1">
      <c r="A6" s="112" t="s">
        <v>55</v>
      </c>
      <c r="B6" s="152">
        <v>20500</v>
      </c>
      <c r="C6" s="112">
        <v>850</v>
      </c>
      <c r="D6" s="112"/>
      <c r="E6" s="112">
        <f t="shared" si="0"/>
        <v>205</v>
      </c>
      <c r="F6" s="112">
        <f t="shared" si="1"/>
        <v>19445</v>
      </c>
    </row>
    <row r="7" spans="1:6" ht="24" thickBot="1">
      <c r="A7" s="112" t="s">
        <v>56</v>
      </c>
      <c r="B7" s="152">
        <v>24000</v>
      </c>
      <c r="C7" s="112">
        <v>850</v>
      </c>
      <c r="D7" s="112"/>
      <c r="E7" s="112">
        <f t="shared" si="0"/>
        <v>240</v>
      </c>
      <c r="F7" s="112">
        <f t="shared" si="1"/>
        <v>22910</v>
      </c>
    </row>
    <row r="8" spans="1:6" ht="24" thickBot="1">
      <c r="A8" s="112" t="s">
        <v>57</v>
      </c>
      <c r="B8" s="152">
        <v>30000</v>
      </c>
      <c r="C8" s="112">
        <v>850</v>
      </c>
      <c r="D8" s="112"/>
      <c r="E8" s="112">
        <f t="shared" si="0"/>
        <v>300</v>
      </c>
      <c r="F8" s="112">
        <f t="shared" si="1"/>
        <v>28850</v>
      </c>
    </row>
    <row r="9" spans="1:6" ht="24" thickBot="1">
      <c r="A9" s="112" t="s">
        <v>58</v>
      </c>
      <c r="B9" s="152">
        <v>11800</v>
      </c>
      <c r="C9" s="112">
        <v>850</v>
      </c>
      <c r="D9" s="112">
        <v>350</v>
      </c>
      <c r="E9" s="112">
        <f t="shared" si="0"/>
        <v>118</v>
      </c>
      <c r="F9" s="112">
        <f t="shared" si="1"/>
        <v>10482</v>
      </c>
    </row>
    <row r="10" spans="1:6" ht="24" thickBot="1">
      <c r="A10" s="112" t="s">
        <v>59</v>
      </c>
      <c r="B10" s="152">
        <v>13800</v>
      </c>
      <c r="C10" s="112">
        <v>850</v>
      </c>
      <c r="D10" s="112">
        <v>350</v>
      </c>
      <c r="E10" s="112">
        <f t="shared" si="0"/>
        <v>138</v>
      </c>
      <c r="F10" s="112">
        <f t="shared" si="1"/>
        <v>12462</v>
      </c>
    </row>
    <row r="11" spans="1:6" ht="24" thickBot="1">
      <c r="A11" s="112" t="s">
        <v>60</v>
      </c>
      <c r="B11" s="152">
        <v>16800</v>
      </c>
      <c r="C11" s="112">
        <v>850</v>
      </c>
      <c r="D11" s="112">
        <v>350</v>
      </c>
      <c r="E11" s="112">
        <f t="shared" si="0"/>
        <v>168</v>
      </c>
      <c r="F11" s="112">
        <f t="shared" si="1"/>
        <v>15432</v>
      </c>
    </row>
    <row r="12" spans="1:6" ht="24" thickBot="1">
      <c r="A12" s="112" t="s">
        <v>61</v>
      </c>
      <c r="B12" s="152">
        <v>18700</v>
      </c>
      <c r="C12" s="112">
        <v>850</v>
      </c>
      <c r="D12" s="112">
        <v>350</v>
      </c>
      <c r="E12" s="112">
        <f t="shared" si="0"/>
        <v>187</v>
      </c>
      <c r="F12" s="112">
        <f t="shared" si="1"/>
        <v>17313</v>
      </c>
    </row>
    <row r="13" spans="1:6" ht="24" thickBot="1">
      <c r="A13" s="112" t="s">
        <v>62</v>
      </c>
      <c r="B13" s="152">
        <v>21850</v>
      </c>
      <c r="C13" s="112">
        <v>850</v>
      </c>
      <c r="D13" s="112">
        <v>350</v>
      </c>
      <c r="E13" s="112">
        <f t="shared" si="0"/>
        <v>218.5</v>
      </c>
      <c r="F13" s="112">
        <f t="shared" si="1"/>
        <v>20431.5</v>
      </c>
    </row>
    <row r="14" spans="1:6" ht="24" thickBot="1">
      <c r="A14" s="112" t="s">
        <v>63</v>
      </c>
      <c r="B14" s="152">
        <v>27500</v>
      </c>
      <c r="C14" s="112">
        <v>850</v>
      </c>
      <c r="D14" s="112"/>
      <c r="E14" s="112">
        <f t="shared" si="0"/>
        <v>275</v>
      </c>
      <c r="F14" s="112">
        <f t="shared" si="1"/>
        <v>26375</v>
      </c>
    </row>
    <row r="15" spans="1:6" ht="24" thickBot="1">
      <c r="A15" s="112" t="s">
        <v>64</v>
      </c>
      <c r="B15" s="152">
        <v>34000</v>
      </c>
      <c r="C15" s="112">
        <v>850</v>
      </c>
      <c r="D15" s="112"/>
      <c r="E15" s="112">
        <f t="shared" si="0"/>
        <v>340</v>
      </c>
      <c r="F15" s="112">
        <f t="shared" si="1"/>
        <v>32810</v>
      </c>
    </row>
    <row r="16" spans="1:6" ht="24" thickBot="1">
      <c r="A16" s="112" t="s">
        <v>65</v>
      </c>
      <c r="B16" s="152">
        <v>13500</v>
      </c>
      <c r="C16" s="112">
        <v>850</v>
      </c>
      <c r="D16" s="112"/>
      <c r="E16" s="112">
        <f t="shared" si="0"/>
        <v>135</v>
      </c>
      <c r="F16" s="112">
        <f t="shared" si="1"/>
        <v>12515</v>
      </c>
    </row>
    <row r="17" spans="1:6" ht="24" thickBot="1">
      <c r="A17" s="112" t="s">
        <v>66</v>
      </c>
      <c r="B17" s="152">
        <v>15500</v>
      </c>
      <c r="C17" s="112">
        <v>850</v>
      </c>
      <c r="D17" s="112"/>
      <c r="E17" s="112">
        <f t="shared" si="0"/>
        <v>155</v>
      </c>
      <c r="F17" s="112">
        <f t="shared" si="1"/>
        <v>14495</v>
      </c>
    </row>
    <row r="18" spans="1:6" ht="24" thickBot="1">
      <c r="A18" s="112" t="s">
        <v>67</v>
      </c>
      <c r="B18" s="152">
        <v>19500</v>
      </c>
      <c r="C18" s="112">
        <v>850</v>
      </c>
      <c r="D18" s="112"/>
      <c r="E18" s="112">
        <f t="shared" si="0"/>
        <v>195</v>
      </c>
      <c r="F18" s="112">
        <f t="shared" si="1"/>
        <v>18455</v>
      </c>
    </row>
    <row r="19" spans="1:6" ht="24" thickBot="1">
      <c r="A19" s="112" t="s">
        <v>68</v>
      </c>
      <c r="B19" s="152">
        <v>21500</v>
      </c>
      <c r="C19" s="112">
        <v>850</v>
      </c>
      <c r="D19" s="112"/>
      <c r="E19" s="112">
        <f t="shared" si="0"/>
        <v>215</v>
      </c>
      <c r="F19" s="112">
        <f t="shared" si="1"/>
        <v>20435</v>
      </c>
    </row>
    <row r="20" spans="1:6" ht="24" thickBot="1">
      <c r="A20" s="112" t="s">
        <v>69</v>
      </c>
      <c r="B20" s="152">
        <v>23800</v>
      </c>
      <c r="C20" s="112">
        <v>850</v>
      </c>
      <c r="D20" s="112"/>
      <c r="E20" s="112">
        <f t="shared" si="0"/>
        <v>238</v>
      </c>
      <c r="F20" s="112">
        <f t="shared" si="1"/>
        <v>22712</v>
      </c>
    </row>
    <row r="21" spans="1:6" ht="24" thickBot="1">
      <c r="A21" s="112" t="s">
        <v>70</v>
      </c>
      <c r="B21" s="152">
        <v>17500</v>
      </c>
      <c r="C21" s="112">
        <v>850</v>
      </c>
      <c r="D21" s="112"/>
      <c r="E21" s="112">
        <f t="shared" si="0"/>
        <v>175</v>
      </c>
      <c r="F21" s="112">
        <f t="shared" si="1"/>
        <v>16475</v>
      </c>
    </row>
    <row r="22" spans="1:6" ht="24" thickBot="1">
      <c r="A22" s="112" t="s">
        <v>71</v>
      </c>
      <c r="B22" s="152">
        <v>18500</v>
      </c>
      <c r="C22" s="112">
        <v>850</v>
      </c>
      <c r="D22" s="112"/>
      <c r="E22" s="112">
        <f t="shared" si="0"/>
        <v>185</v>
      </c>
      <c r="F22" s="112">
        <f t="shared" si="1"/>
        <v>17465</v>
      </c>
    </row>
    <row r="23" spans="1:6">
      <c r="C23" s="154"/>
      <c r="D23" s="154"/>
      <c r="E23" s="154"/>
      <c r="F23" s="154"/>
    </row>
    <row r="24" spans="1:6" ht="16.5" thickBot="1">
      <c r="C24" s="154"/>
      <c r="D24" s="154"/>
      <c r="E24" s="154"/>
      <c r="F24" s="154"/>
    </row>
    <row r="25" spans="1:6" ht="24" thickBot="1">
      <c r="A25" s="153" t="s">
        <v>36</v>
      </c>
      <c r="B25" s="155" t="s">
        <v>72</v>
      </c>
      <c r="C25" s="155"/>
      <c r="D25" s="155"/>
      <c r="E25" s="155"/>
      <c r="F25" s="155"/>
    </row>
    <row r="26" spans="1:6" ht="24" thickBot="1">
      <c r="A26" s="153" t="s">
        <v>23</v>
      </c>
      <c r="B26" s="155" t="s">
        <v>73</v>
      </c>
      <c r="C26" s="155"/>
      <c r="D26" s="155"/>
      <c r="E26" s="155"/>
      <c r="F26" s="155"/>
    </row>
    <row r="27" spans="1:6" ht="24" thickBot="1">
      <c r="A27" s="153" t="s">
        <v>849</v>
      </c>
      <c r="B27" s="155" t="s">
        <v>74</v>
      </c>
      <c r="C27" s="155"/>
      <c r="D27" s="155"/>
      <c r="E27" s="155"/>
      <c r="F27" s="155"/>
    </row>
    <row r="28" spans="1:6" ht="24" thickBot="1">
      <c r="A28" s="153" t="s">
        <v>850</v>
      </c>
      <c r="B28" s="155" t="s">
        <v>75</v>
      </c>
      <c r="C28" s="155"/>
      <c r="D28" s="155"/>
      <c r="E28" s="155"/>
      <c r="F28" s="155"/>
    </row>
    <row r="29" spans="1:6">
      <c r="B29" s="156"/>
      <c r="C29" s="156"/>
      <c r="D29" s="156"/>
      <c r="E29" s="156"/>
      <c r="F29" s="156"/>
    </row>
  </sheetData>
  <mergeCells count="5">
    <mergeCell ref="A1:F1"/>
    <mergeCell ref="B25:F25"/>
    <mergeCell ref="B26:F26"/>
    <mergeCell ref="B27:F27"/>
    <mergeCell ref="B28:F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21" sqref="A21"/>
    </sheetView>
  </sheetViews>
  <sheetFormatPr defaultRowHeight="15.75"/>
  <cols>
    <col min="1" max="1" width="52.875" bestFit="1" customWidth="1"/>
    <col min="2" max="2" width="9.25" bestFit="1" customWidth="1"/>
  </cols>
  <sheetData>
    <row r="1" spans="1:2" ht="29.25" thickBot="1">
      <c r="A1" s="90" t="s">
        <v>94</v>
      </c>
      <c r="B1" s="90"/>
    </row>
    <row r="2" spans="1:2" ht="27" thickBot="1">
      <c r="A2" s="26" t="s">
        <v>87</v>
      </c>
      <c r="B2" s="27" t="s">
        <v>86</v>
      </c>
    </row>
    <row r="3" spans="1:2" ht="19.5" thickBot="1">
      <c r="A3" s="28" t="s">
        <v>88</v>
      </c>
      <c r="B3" s="28">
        <v>2325</v>
      </c>
    </row>
    <row r="4" spans="1:2" ht="19.5" thickBot="1">
      <c r="A4" s="28" t="s">
        <v>89</v>
      </c>
      <c r="B4" s="28">
        <v>2975</v>
      </c>
    </row>
    <row r="5" spans="1:2" ht="19.5" thickBot="1">
      <c r="A5" s="28" t="s">
        <v>90</v>
      </c>
      <c r="B5" s="28">
        <v>2445</v>
      </c>
    </row>
    <row r="6" spans="1:2" ht="19.5" thickBot="1">
      <c r="A6" s="28" t="s">
        <v>91</v>
      </c>
      <c r="B6" s="28">
        <v>2975</v>
      </c>
    </row>
    <row r="7" spans="1:2" ht="19.5" thickBot="1">
      <c r="A7" s="28" t="s">
        <v>92</v>
      </c>
      <c r="B7" s="28">
        <v>4395</v>
      </c>
    </row>
    <row r="8" spans="1:2" ht="19.5" thickBot="1">
      <c r="A8" s="28" t="s">
        <v>93</v>
      </c>
      <c r="B8" s="28">
        <v>4395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2" sqref="A2"/>
    </sheetView>
  </sheetViews>
  <sheetFormatPr defaultRowHeight="15.75"/>
  <cols>
    <col min="1" max="1" width="49.75" bestFit="1" customWidth="1"/>
    <col min="2" max="2" width="8.375" bestFit="1" customWidth="1"/>
  </cols>
  <sheetData>
    <row r="1" spans="1:2" ht="32.25" thickBot="1">
      <c r="A1" s="91" t="s">
        <v>207</v>
      </c>
      <c r="B1" s="91"/>
    </row>
    <row r="2" spans="1:2" ht="24" thickBot="1">
      <c r="A2" s="29" t="s">
        <v>87</v>
      </c>
      <c r="B2" s="29" t="s">
        <v>86</v>
      </c>
    </row>
    <row r="3" spans="1:2" ht="19.5" thickBot="1">
      <c r="A3" s="30" t="s">
        <v>95</v>
      </c>
      <c r="B3" s="30">
        <v>390</v>
      </c>
    </row>
    <row r="4" spans="1:2" ht="19.5" thickBot="1">
      <c r="A4" s="30" t="s">
        <v>96</v>
      </c>
      <c r="B4" s="30">
        <v>490</v>
      </c>
    </row>
    <row r="5" spans="1:2" ht="19.5" thickBot="1">
      <c r="A5" s="30" t="s">
        <v>97</v>
      </c>
      <c r="B5" s="30">
        <v>590</v>
      </c>
    </row>
    <row r="6" spans="1:2" ht="19.5" thickBot="1">
      <c r="A6" s="30" t="s">
        <v>98</v>
      </c>
      <c r="B6" s="30">
        <v>1090</v>
      </c>
    </row>
    <row r="7" spans="1:2" ht="19.5" thickBot="1">
      <c r="A7" s="30" t="s">
        <v>99</v>
      </c>
      <c r="B7" s="30">
        <v>595</v>
      </c>
    </row>
    <row r="8" spans="1:2" ht="19.5" thickBot="1">
      <c r="A8" s="30" t="s">
        <v>100</v>
      </c>
      <c r="B8" s="30">
        <v>795</v>
      </c>
    </row>
    <row r="9" spans="1:2" ht="19.5" thickBot="1">
      <c r="A9" s="30" t="s">
        <v>101</v>
      </c>
      <c r="B9" s="30">
        <v>695</v>
      </c>
    </row>
    <row r="10" spans="1:2" ht="19.5" thickBot="1">
      <c r="A10" s="30" t="s">
        <v>102</v>
      </c>
      <c r="B10" s="30">
        <v>925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2" sqref="A2"/>
    </sheetView>
  </sheetViews>
  <sheetFormatPr defaultRowHeight="15.75"/>
  <cols>
    <col min="1" max="1" width="13.75" bestFit="1" customWidth="1"/>
    <col min="2" max="2" width="14.25" bestFit="1" customWidth="1"/>
    <col min="3" max="3" width="24.875" bestFit="1" customWidth="1"/>
    <col min="4" max="4" width="7.125" bestFit="1" customWidth="1"/>
    <col min="5" max="5" width="14" bestFit="1" customWidth="1"/>
    <col min="6" max="6" width="20.75" bestFit="1" customWidth="1"/>
    <col min="7" max="7" width="15.25" bestFit="1" customWidth="1"/>
  </cols>
  <sheetData>
    <row r="1" spans="1:7" ht="28.5">
      <c r="A1" s="92" t="s">
        <v>851</v>
      </c>
      <c r="B1" s="92"/>
      <c r="C1" s="92"/>
      <c r="D1" s="92"/>
      <c r="E1" s="92"/>
      <c r="F1" s="92"/>
      <c r="G1" s="92"/>
    </row>
    <row r="2" spans="1:7" ht="26.25">
      <c r="A2" s="34"/>
      <c r="B2" s="34" t="s">
        <v>103</v>
      </c>
      <c r="C2" s="34" t="s">
        <v>104</v>
      </c>
      <c r="D2" s="36" t="s">
        <v>104</v>
      </c>
      <c r="E2" s="34"/>
      <c r="F2" s="34"/>
      <c r="G2" s="34" t="s">
        <v>105</v>
      </c>
    </row>
    <row r="3" spans="1:7" ht="26.25">
      <c r="A3" s="31" t="s">
        <v>106</v>
      </c>
      <c r="B3" s="31" t="s">
        <v>107</v>
      </c>
      <c r="C3" s="31" t="s">
        <v>108</v>
      </c>
      <c r="D3" s="31" t="s">
        <v>109</v>
      </c>
      <c r="E3" s="31" t="s">
        <v>110</v>
      </c>
      <c r="F3" s="31" t="s">
        <v>111</v>
      </c>
      <c r="G3" s="33">
        <v>10000</v>
      </c>
    </row>
    <row r="4" spans="1:7" ht="26.25">
      <c r="A4" s="31" t="s">
        <v>112</v>
      </c>
      <c r="B4" s="31" t="s">
        <v>113</v>
      </c>
      <c r="C4" s="31" t="s">
        <v>108</v>
      </c>
      <c r="D4" s="31" t="s">
        <v>109</v>
      </c>
      <c r="E4" s="31" t="s">
        <v>110</v>
      </c>
      <c r="F4" s="31" t="s">
        <v>111</v>
      </c>
      <c r="G4" s="33">
        <v>10500</v>
      </c>
    </row>
    <row r="5" spans="1:7" ht="26.25">
      <c r="A5" s="31" t="s">
        <v>114</v>
      </c>
      <c r="B5" s="31" t="s">
        <v>113</v>
      </c>
      <c r="C5" s="31" t="s">
        <v>115</v>
      </c>
      <c r="D5" s="31" t="s">
        <v>109</v>
      </c>
      <c r="E5" s="31" t="s">
        <v>110</v>
      </c>
      <c r="F5" s="31" t="s">
        <v>111</v>
      </c>
      <c r="G5" s="33">
        <v>10700</v>
      </c>
    </row>
    <row r="6" spans="1:7" ht="26.25">
      <c r="A6" s="31" t="s">
        <v>116</v>
      </c>
      <c r="B6" s="31" t="s">
        <v>113</v>
      </c>
      <c r="C6" s="31" t="s">
        <v>117</v>
      </c>
      <c r="D6" s="31" t="s">
        <v>109</v>
      </c>
      <c r="E6" s="31" t="s">
        <v>110</v>
      </c>
      <c r="F6" s="31" t="s">
        <v>111</v>
      </c>
      <c r="G6" s="33">
        <v>15500</v>
      </c>
    </row>
    <row r="7" spans="1:7" ht="26.25">
      <c r="A7" s="34"/>
      <c r="B7" s="34" t="s">
        <v>118</v>
      </c>
      <c r="C7" s="34"/>
      <c r="D7" s="34"/>
      <c r="E7" s="34"/>
      <c r="F7" s="34"/>
      <c r="G7" s="34" t="s">
        <v>105</v>
      </c>
    </row>
    <row r="8" spans="1:7" ht="26.25">
      <c r="A8" s="31" t="s">
        <v>106</v>
      </c>
      <c r="B8" s="31" t="s">
        <v>107</v>
      </c>
      <c r="C8" s="31" t="s">
        <v>119</v>
      </c>
      <c r="D8" s="31" t="s">
        <v>109</v>
      </c>
      <c r="E8" s="31" t="s">
        <v>110</v>
      </c>
      <c r="F8" s="31" t="s">
        <v>111</v>
      </c>
      <c r="G8" s="33">
        <v>11500</v>
      </c>
    </row>
    <row r="9" spans="1:7" ht="26.25">
      <c r="A9" s="31" t="s">
        <v>112</v>
      </c>
      <c r="B9" s="31" t="s">
        <v>113</v>
      </c>
      <c r="C9" s="31" t="s">
        <v>119</v>
      </c>
      <c r="D9" s="31" t="s">
        <v>109</v>
      </c>
      <c r="E9" s="31" t="s">
        <v>110</v>
      </c>
      <c r="F9" s="31" t="s">
        <v>111</v>
      </c>
      <c r="G9" s="32">
        <v>12000</v>
      </c>
    </row>
    <row r="10" spans="1:7" ht="26.25">
      <c r="A10" s="31" t="s">
        <v>114</v>
      </c>
      <c r="B10" s="31" t="s">
        <v>113</v>
      </c>
      <c r="C10" s="31" t="s">
        <v>120</v>
      </c>
      <c r="D10" s="31" t="s">
        <v>109</v>
      </c>
      <c r="E10" s="31" t="s">
        <v>110</v>
      </c>
      <c r="F10" s="31" t="s">
        <v>111</v>
      </c>
      <c r="G10" s="32">
        <v>12500</v>
      </c>
    </row>
    <row r="11" spans="1:7" ht="26.25">
      <c r="A11" s="31" t="s">
        <v>116</v>
      </c>
      <c r="B11" s="31" t="s">
        <v>113</v>
      </c>
      <c r="C11" s="31" t="s">
        <v>121</v>
      </c>
      <c r="D11" s="31" t="s">
        <v>109</v>
      </c>
      <c r="E11" s="31" t="s">
        <v>110</v>
      </c>
      <c r="F11" s="31" t="s">
        <v>111</v>
      </c>
      <c r="G11" s="32">
        <v>19500</v>
      </c>
    </row>
    <row r="12" spans="1:7" ht="26.25">
      <c r="A12" s="34"/>
      <c r="B12" s="34" t="s">
        <v>122</v>
      </c>
      <c r="C12" s="34"/>
      <c r="D12" s="34"/>
      <c r="E12" s="34"/>
      <c r="F12" s="34"/>
      <c r="G12" s="34" t="s">
        <v>105</v>
      </c>
    </row>
    <row r="13" spans="1:7" ht="26.25">
      <c r="A13" s="31" t="s">
        <v>106</v>
      </c>
      <c r="B13" s="31" t="s">
        <v>107</v>
      </c>
      <c r="C13" s="31" t="s">
        <v>123</v>
      </c>
      <c r="D13" s="31" t="s">
        <v>109</v>
      </c>
      <c r="E13" s="31" t="s">
        <v>110</v>
      </c>
      <c r="F13" s="31" t="s">
        <v>111</v>
      </c>
      <c r="G13" s="32">
        <v>14000</v>
      </c>
    </row>
    <row r="14" spans="1:7" ht="26.25">
      <c r="A14" s="31" t="s">
        <v>112</v>
      </c>
      <c r="B14" s="31" t="s">
        <v>113</v>
      </c>
      <c r="C14" s="31" t="s">
        <v>123</v>
      </c>
      <c r="D14" s="31" t="s">
        <v>109</v>
      </c>
      <c r="E14" s="31" t="s">
        <v>110</v>
      </c>
      <c r="F14" s="31" t="s">
        <v>111</v>
      </c>
      <c r="G14" s="32">
        <v>14500</v>
      </c>
    </row>
    <row r="15" spans="1:7" ht="26.25">
      <c r="A15" s="31" t="s">
        <v>114</v>
      </c>
      <c r="B15" s="31" t="s">
        <v>113</v>
      </c>
      <c r="C15" s="31" t="s">
        <v>124</v>
      </c>
      <c r="D15" s="31" t="s">
        <v>109</v>
      </c>
      <c r="E15" s="31" t="s">
        <v>110</v>
      </c>
      <c r="F15" s="31" t="s">
        <v>111</v>
      </c>
      <c r="G15" s="32">
        <v>16000</v>
      </c>
    </row>
    <row r="16" spans="1:7" ht="26.25">
      <c r="A16" s="31" t="s">
        <v>116</v>
      </c>
      <c r="B16" s="31" t="s">
        <v>113</v>
      </c>
      <c r="C16" s="31" t="s">
        <v>125</v>
      </c>
      <c r="D16" s="31" t="s">
        <v>109</v>
      </c>
      <c r="E16" s="31" t="s">
        <v>110</v>
      </c>
      <c r="F16" s="31" t="s">
        <v>111</v>
      </c>
      <c r="G16" s="35">
        <v>24500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E15" sqref="E15"/>
    </sheetView>
  </sheetViews>
  <sheetFormatPr defaultRowHeight="15.75"/>
  <cols>
    <col min="1" max="1" width="13.75" bestFit="1" customWidth="1"/>
    <col min="2" max="2" width="14.25" bestFit="1" customWidth="1"/>
    <col min="3" max="3" width="25.625" bestFit="1" customWidth="1"/>
    <col min="4" max="4" width="12.125" bestFit="1" customWidth="1"/>
    <col min="5" max="5" width="14" bestFit="1" customWidth="1"/>
    <col min="6" max="6" width="20.75" bestFit="1" customWidth="1"/>
    <col min="7" max="7" width="15.25" bestFit="1" customWidth="1"/>
    <col min="8" max="8" width="5.25" bestFit="1" customWidth="1"/>
  </cols>
  <sheetData>
    <row r="1" spans="1:8" ht="27" thickBot="1">
      <c r="A1" s="93" t="s">
        <v>206</v>
      </c>
      <c r="B1" s="93"/>
      <c r="C1" s="93"/>
      <c r="D1" s="93"/>
      <c r="E1" s="93"/>
      <c r="F1" s="93"/>
      <c r="G1" s="93"/>
      <c r="H1" s="93"/>
    </row>
    <row r="2" spans="1:8" ht="27" thickBot="1">
      <c r="A2" s="17" t="s">
        <v>126</v>
      </c>
      <c r="B2" s="17" t="s">
        <v>103</v>
      </c>
      <c r="C2" s="17"/>
      <c r="D2" s="37">
        <v>46174</v>
      </c>
      <c r="E2" s="17"/>
      <c r="F2" s="17"/>
      <c r="G2" s="17" t="s">
        <v>105</v>
      </c>
      <c r="H2" s="38"/>
    </row>
    <row r="3" spans="1:8" ht="27" thickBot="1">
      <c r="A3" s="39" t="s">
        <v>127</v>
      </c>
      <c r="B3" s="39" t="s">
        <v>113</v>
      </c>
      <c r="C3" s="39" t="s">
        <v>128</v>
      </c>
      <c r="D3" s="39" t="s">
        <v>109</v>
      </c>
      <c r="E3" s="39" t="s">
        <v>110</v>
      </c>
      <c r="F3" s="39" t="s">
        <v>111</v>
      </c>
      <c r="G3" s="39">
        <v>9500</v>
      </c>
      <c r="H3" s="38"/>
    </row>
    <row r="4" spans="1:8" ht="27" thickBot="1">
      <c r="A4" s="39" t="s">
        <v>127</v>
      </c>
      <c r="B4" s="39" t="s">
        <v>107</v>
      </c>
      <c r="C4" s="39" t="s">
        <v>128</v>
      </c>
      <c r="D4" s="39" t="s">
        <v>109</v>
      </c>
      <c r="E4" s="39" t="s">
        <v>110</v>
      </c>
      <c r="F4" s="39" t="s">
        <v>111</v>
      </c>
      <c r="G4" s="39">
        <v>9500</v>
      </c>
      <c r="H4" s="38"/>
    </row>
    <row r="5" spans="1:8" ht="27" thickBot="1">
      <c r="A5" s="39" t="s">
        <v>106</v>
      </c>
      <c r="B5" s="39" t="s">
        <v>113</v>
      </c>
      <c r="C5" s="39" t="s">
        <v>108</v>
      </c>
      <c r="D5" s="39" t="s">
        <v>109</v>
      </c>
      <c r="E5" s="39" t="s">
        <v>110</v>
      </c>
      <c r="F5" s="39" t="s">
        <v>111</v>
      </c>
      <c r="G5" s="39">
        <v>11000</v>
      </c>
      <c r="H5" s="40" t="s">
        <v>129</v>
      </c>
    </row>
    <row r="6" spans="1:8" ht="27" thickBot="1">
      <c r="A6" s="39" t="s">
        <v>130</v>
      </c>
      <c r="B6" s="39" t="s">
        <v>113</v>
      </c>
      <c r="C6" s="39" t="s">
        <v>108</v>
      </c>
      <c r="D6" s="39" t="s">
        <v>109</v>
      </c>
      <c r="E6" s="39" t="s">
        <v>110</v>
      </c>
      <c r="F6" s="39" t="s">
        <v>111</v>
      </c>
      <c r="G6" s="39">
        <v>12750</v>
      </c>
      <c r="H6" s="40"/>
    </row>
    <row r="7" spans="1:8" ht="27" thickBot="1">
      <c r="A7" s="39" t="s">
        <v>106</v>
      </c>
      <c r="B7" s="39" t="s">
        <v>107</v>
      </c>
      <c r="C7" s="39" t="s">
        <v>108</v>
      </c>
      <c r="D7" s="39" t="s">
        <v>109</v>
      </c>
      <c r="E7" s="39" t="s">
        <v>110</v>
      </c>
      <c r="F7" s="39" t="s">
        <v>111</v>
      </c>
      <c r="G7" s="39">
        <v>12800</v>
      </c>
      <c r="H7" s="40"/>
    </row>
    <row r="8" spans="1:8" ht="27" thickBot="1">
      <c r="A8" s="39" t="s">
        <v>114</v>
      </c>
      <c r="B8" s="39" t="s">
        <v>107</v>
      </c>
      <c r="C8" s="39" t="s">
        <v>115</v>
      </c>
      <c r="D8" s="39" t="s">
        <v>109</v>
      </c>
      <c r="E8" s="39" t="s">
        <v>110</v>
      </c>
      <c r="F8" s="39" t="s">
        <v>111</v>
      </c>
      <c r="G8" s="39">
        <v>12800</v>
      </c>
      <c r="H8" s="40"/>
    </row>
    <row r="9" spans="1:8" ht="27" thickBot="1">
      <c r="A9" s="39" t="s">
        <v>114</v>
      </c>
      <c r="B9" s="39" t="s">
        <v>113</v>
      </c>
      <c r="C9" s="39" t="s">
        <v>115</v>
      </c>
      <c r="D9" s="39" t="s">
        <v>109</v>
      </c>
      <c r="E9" s="39" t="s">
        <v>110</v>
      </c>
      <c r="F9" s="39" t="s">
        <v>111</v>
      </c>
      <c r="G9" s="39">
        <v>12920</v>
      </c>
      <c r="H9" s="40"/>
    </row>
    <row r="10" spans="1:8" ht="27" thickBot="1">
      <c r="A10" s="39" t="s">
        <v>131</v>
      </c>
      <c r="B10" s="39" t="s">
        <v>113</v>
      </c>
      <c r="C10" s="39" t="s">
        <v>117</v>
      </c>
      <c r="D10" s="39" t="s">
        <v>109</v>
      </c>
      <c r="E10" s="39" t="s">
        <v>110</v>
      </c>
      <c r="F10" s="39" t="s">
        <v>111</v>
      </c>
      <c r="G10" s="39">
        <v>17550</v>
      </c>
      <c r="H10" s="40"/>
    </row>
    <row r="11" spans="1:8" ht="27" thickBot="1">
      <c r="A11" s="39" t="s">
        <v>116</v>
      </c>
      <c r="B11" s="39" t="s">
        <v>107</v>
      </c>
      <c r="C11" s="39" t="s">
        <v>117</v>
      </c>
      <c r="D11" s="39" t="s">
        <v>109</v>
      </c>
      <c r="E11" s="39" t="s">
        <v>110</v>
      </c>
      <c r="F11" s="39" t="s">
        <v>111</v>
      </c>
      <c r="G11" s="39">
        <v>17100</v>
      </c>
      <c r="H11" s="40"/>
    </row>
    <row r="12" spans="1:8" ht="27" thickBot="1">
      <c r="A12" s="39" t="s">
        <v>132</v>
      </c>
      <c r="B12" s="39" t="s">
        <v>113</v>
      </c>
      <c r="C12" s="39" t="s">
        <v>133</v>
      </c>
      <c r="D12" s="39" t="s">
        <v>109</v>
      </c>
      <c r="E12" s="39" t="s">
        <v>110</v>
      </c>
      <c r="F12" s="39" t="s">
        <v>111</v>
      </c>
      <c r="G12" s="39">
        <v>17660</v>
      </c>
      <c r="H12" s="40"/>
    </row>
    <row r="13" spans="1:8" ht="27" thickBot="1">
      <c r="A13" s="39" t="s">
        <v>132</v>
      </c>
      <c r="B13" s="39" t="s">
        <v>107</v>
      </c>
      <c r="C13" s="39" t="s">
        <v>133</v>
      </c>
      <c r="D13" s="39" t="s">
        <v>109</v>
      </c>
      <c r="E13" s="39" t="s">
        <v>110</v>
      </c>
      <c r="F13" s="39" t="s">
        <v>111</v>
      </c>
      <c r="G13" s="39">
        <v>17200</v>
      </c>
      <c r="H13" s="40"/>
    </row>
    <row r="14" spans="1:8" ht="27" thickBot="1">
      <c r="A14" s="17"/>
      <c r="B14" s="17" t="s">
        <v>118</v>
      </c>
      <c r="C14" s="17"/>
      <c r="D14" s="17"/>
      <c r="E14" s="17"/>
      <c r="F14" s="17"/>
      <c r="G14" s="17" t="s">
        <v>105</v>
      </c>
      <c r="H14" s="38"/>
    </row>
    <row r="15" spans="1:8" ht="27" thickBot="1">
      <c r="A15" s="39" t="s">
        <v>127</v>
      </c>
      <c r="B15" s="39" t="s">
        <v>113</v>
      </c>
      <c r="C15" s="39" t="s">
        <v>134</v>
      </c>
      <c r="D15" s="39" t="s">
        <v>109</v>
      </c>
      <c r="E15" s="39" t="s">
        <v>110</v>
      </c>
      <c r="F15" s="39" t="s">
        <v>111</v>
      </c>
      <c r="G15" s="39">
        <v>10500</v>
      </c>
      <c r="H15" s="38"/>
    </row>
    <row r="16" spans="1:8" ht="27" thickBot="1">
      <c r="A16" s="39" t="s">
        <v>127</v>
      </c>
      <c r="B16" s="39" t="s">
        <v>107</v>
      </c>
      <c r="C16" s="39" t="s">
        <v>134</v>
      </c>
      <c r="D16" s="39" t="s">
        <v>109</v>
      </c>
      <c r="E16" s="39" t="s">
        <v>110</v>
      </c>
      <c r="F16" s="39" t="s">
        <v>111</v>
      </c>
      <c r="G16" s="19">
        <v>10500</v>
      </c>
      <c r="H16" s="41"/>
    </row>
    <row r="17" spans="1:8" ht="27" thickBot="1">
      <c r="A17" s="39" t="s">
        <v>106</v>
      </c>
      <c r="B17" s="39" t="s">
        <v>113</v>
      </c>
      <c r="C17" s="39" t="s">
        <v>119</v>
      </c>
      <c r="D17" s="39" t="s">
        <v>109</v>
      </c>
      <c r="E17" s="39" t="s">
        <v>110</v>
      </c>
      <c r="F17" s="39" t="s">
        <v>111</v>
      </c>
      <c r="G17" s="39">
        <v>12325</v>
      </c>
      <c r="H17" s="40" t="s">
        <v>129</v>
      </c>
    </row>
    <row r="18" spans="1:8" ht="27" thickBot="1">
      <c r="A18" s="39" t="s">
        <v>130</v>
      </c>
      <c r="B18" s="39" t="s">
        <v>113</v>
      </c>
      <c r="C18" s="39" t="s">
        <v>119</v>
      </c>
      <c r="D18" s="39" t="s">
        <v>109</v>
      </c>
      <c r="E18" s="39" t="s">
        <v>110</v>
      </c>
      <c r="F18" s="39" t="s">
        <v>111</v>
      </c>
      <c r="G18" s="39">
        <v>14200</v>
      </c>
      <c r="H18" s="40"/>
    </row>
    <row r="19" spans="1:8" ht="27" thickBot="1">
      <c r="A19" s="39" t="s">
        <v>106</v>
      </c>
      <c r="B19" s="39" t="s">
        <v>107</v>
      </c>
      <c r="C19" s="39" t="s">
        <v>119</v>
      </c>
      <c r="D19" s="39" t="s">
        <v>109</v>
      </c>
      <c r="E19" s="39" t="s">
        <v>110</v>
      </c>
      <c r="F19" s="39" t="s">
        <v>111</v>
      </c>
      <c r="G19" s="39">
        <v>14240</v>
      </c>
      <c r="H19" s="40"/>
    </row>
    <row r="20" spans="1:8" ht="27" thickBot="1">
      <c r="A20" s="39" t="s">
        <v>114</v>
      </c>
      <c r="B20" s="39" t="s">
        <v>107</v>
      </c>
      <c r="C20" s="39" t="s">
        <v>135</v>
      </c>
      <c r="D20" s="39" t="s">
        <v>109</v>
      </c>
      <c r="E20" s="39" t="s">
        <v>110</v>
      </c>
      <c r="F20" s="39" t="s">
        <v>111</v>
      </c>
      <c r="G20" s="39">
        <v>14900</v>
      </c>
      <c r="H20" s="40"/>
    </row>
    <row r="21" spans="1:8" ht="27" thickBot="1">
      <c r="A21" s="39" t="s">
        <v>114</v>
      </c>
      <c r="B21" s="39" t="s">
        <v>113</v>
      </c>
      <c r="C21" s="39" t="s">
        <v>135</v>
      </c>
      <c r="D21" s="39" t="s">
        <v>109</v>
      </c>
      <c r="E21" s="39" t="s">
        <v>110</v>
      </c>
      <c r="F21" s="39" t="s">
        <v>111</v>
      </c>
      <c r="G21" s="39">
        <v>15030</v>
      </c>
      <c r="H21" s="40"/>
    </row>
    <row r="22" spans="1:8" ht="27" thickBot="1">
      <c r="A22" s="39" t="s">
        <v>131</v>
      </c>
      <c r="B22" s="39" t="s">
        <v>113</v>
      </c>
      <c r="C22" s="39" t="s">
        <v>121</v>
      </c>
      <c r="D22" s="39" t="s">
        <v>109</v>
      </c>
      <c r="E22" s="39" t="s">
        <v>110</v>
      </c>
      <c r="F22" s="39" t="s">
        <v>111</v>
      </c>
      <c r="G22" s="39">
        <v>21520</v>
      </c>
      <c r="H22" s="40"/>
    </row>
    <row r="23" spans="1:8" ht="27" thickBot="1">
      <c r="A23" s="39" t="s">
        <v>116</v>
      </c>
      <c r="B23" s="39" t="s">
        <v>107</v>
      </c>
      <c r="C23" s="39" t="s">
        <v>121</v>
      </c>
      <c r="D23" s="39" t="s">
        <v>109</v>
      </c>
      <c r="E23" s="39" t="s">
        <v>110</v>
      </c>
      <c r="F23" s="39" t="s">
        <v>111</v>
      </c>
      <c r="G23" s="39">
        <v>21020</v>
      </c>
      <c r="H23" s="40"/>
    </row>
    <row r="24" spans="1:8" ht="27" thickBot="1">
      <c r="A24" s="39" t="s">
        <v>132</v>
      </c>
      <c r="B24" s="39" t="s">
        <v>113</v>
      </c>
      <c r="C24" s="39" t="s">
        <v>136</v>
      </c>
      <c r="D24" s="39" t="s">
        <v>109</v>
      </c>
      <c r="E24" s="39" t="s">
        <v>110</v>
      </c>
      <c r="F24" s="39" t="s">
        <v>111</v>
      </c>
      <c r="G24" s="39">
        <v>23110</v>
      </c>
      <c r="H24" s="40"/>
    </row>
    <row r="25" spans="1:8" ht="27" thickBot="1">
      <c r="A25" s="39" t="s">
        <v>132</v>
      </c>
      <c r="B25" s="39" t="s">
        <v>107</v>
      </c>
      <c r="C25" s="39" t="s">
        <v>136</v>
      </c>
      <c r="D25" s="39" t="s">
        <v>109</v>
      </c>
      <c r="E25" s="39" t="s">
        <v>110</v>
      </c>
      <c r="F25" s="39" t="s">
        <v>111</v>
      </c>
      <c r="G25" s="39">
        <v>22610</v>
      </c>
      <c r="H25" s="40"/>
    </row>
    <row r="26" spans="1:8" ht="27" thickBot="1">
      <c r="A26" s="17"/>
      <c r="B26" s="17" t="s">
        <v>122</v>
      </c>
      <c r="C26" s="17"/>
      <c r="D26" s="17"/>
      <c r="E26" s="17"/>
      <c r="F26" s="17"/>
      <c r="G26" s="17" t="s">
        <v>105</v>
      </c>
      <c r="H26" s="40"/>
    </row>
    <row r="27" spans="1:8" ht="27" thickBot="1">
      <c r="A27" s="39" t="s">
        <v>127</v>
      </c>
      <c r="B27" s="39" t="s">
        <v>113</v>
      </c>
      <c r="C27" s="39" t="s">
        <v>137</v>
      </c>
      <c r="D27" s="39" t="s">
        <v>109</v>
      </c>
      <c r="E27" s="39" t="s">
        <v>110</v>
      </c>
      <c r="F27" s="39" t="s">
        <v>111</v>
      </c>
      <c r="G27" s="42">
        <v>11500</v>
      </c>
      <c r="H27" s="38"/>
    </row>
    <row r="28" spans="1:8" ht="27" thickBot="1">
      <c r="A28" s="39" t="s">
        <v>127</v>
      </c>
      <c r="B28" s="39" t="s">
        <v>107</v>
      </c>
      <c r="C28" s="39" t="s">
        <v>137</v>
      </c>
      <c r="D28" s="39" t="s">
        <v>109</v>
      </c>
      <c r="E28" s="39" t="s">
        <v>110</v>
      </c>
      <c r="F28" s="39" t="s">
        <v>111</v>
      </c>
      <c r="G28" s="43">
        <v>11500</v>
      </c>
      <c r="H28" s="38"/>
    </row>
    <row r="29" spans="1:8" ht="27" thickBot="1">
      <c r="A29" s="39" t="s">
        <v>106</v>
      </c>
      <c r="B29" s="39" t="s">
        <v>113</v>
      </c>
      <c r="C29" s="39" t="s">
        <v>123</v>
      </c>
      <c r="D29" s="39" t="s">
        <v>109</v>
      </c>
      <c r="E29" s="39" t="s">
        <v>110</v>
      </c>
      <c r="F29" s="39" t="s">
        <v>111</v>
      </c>
      <c r="G29" s="42">
        <v>14900</v>
      </c>
      <c r="H29" s="40" t="s">
        <v>129</v>
      </c>
    </row>
    <row r="30" spans="1:8" ht="27" thickBot="1">
      <c r="A30" s="39" t="s">
        <v>130</v>
      </c>
      <c r="B30" s="39" t="s">
        <v>113</v>
      </c>
      <c r="C30" s="39" t="s">
        <v>123</v>
      </c>
      <c r="D30" s="39" t="s">
        <v>109</v>
      </c>
      <c r="E30" s="39" t="s">
        <v>110</v>
      </c>
      <c r="F30" s="39" t="s">
        <v>111</v>
      </c>
      <c r="G30" s="42">
        <v>16750</v>
      </c>
      <c r="H30" s="40"/>
    </row>
    <row r="31" spans="1:8" ht="27" thickBot="1">
      <c r="A31" s="39" t="s">
        <v>106</v>
      </c>
      <c r="B31" s="39" t="s">
        <v>107</v>
      </c>
      <c r="C31" s="39" t="s">
        <v>123</v>
      </c>
      <c r="D31" s="39" t="s">
        <v>109</v>
      </c>
      <c r="E31" s="39" t="s">
        <v>110</v>
      </c>
      <c r="F31" s="39" t="s">
        <v>111</v>
      </c>
      <c r="G31" s="42">
        <v>16800</v>
      </c>
      <c r="H31" s="40"/>
    </row>
    <row r="32" spans="1:8" ht="27" thickBot="1">
      <c r="A32" s="39" t="s">
        <v>114</v>
      </c>
      <c r="B32" s="39" t="s">
        <v>107</v>
      </c>
      <c r="C32" s="39" t="s">
        <v>124</v>
      </c>
      <c r="D32" s="39" t="s">
        <v>109</v>
      </c>
      <c r="E32" s="39" t="s">
        <v>110</v>
      </c>
      <c r="F32" s="39" t="s">
        <v>111</v>
      </c>
      <c r="G32" s="42">
        <v>18000</v>
      </c>
      <c r="H32" s="41"/>
    </row>
    <row r="33" spans="1:8" ht="27" thickBot="1">
      <c r="A33" s="39" t="s">
        <v>114</v>
      </c>
      <c r="B33" s="39" t="s">
        <v>113</v>
      </c>
      <c r="C33" s="39" t="s">
        <v>124</v>
      </c>
      <c r="D33" s="39" t="s">
        <v>109</v>
      </c>
      <c r="E33" s="39" t="s">
        <v>110</v>
      </c>
      <c r="F33" s="39" t="s">
        <v>111</v>
      </c>
      <c r="G33" s="42">
        <v>19000</v>
      </c>
      <c r="H33" s="41"/>
    </row>
    <row r="34" spans="1:8" ht="27" thickBot="1">
      <c r="A34" s="39" t="s">
        <v>131</v>
      </c>
      <c r="B34" s="39" t="s">
        <v>113</v>
      </c>
      <c r="C34" s="39" t="s">
        <v>125</v>
      </c>
      <c r="D34" s="39" t="s">
        <v>109</v>
      </c>
      <c r="E34" s="39" t="s">
        <v>110</v>
      </c>
      <c r="F34" s="39" t="s">
        <v>111</v>
      </c>
      <c r="G34" s="42">
        <v>26500</v>
      </c>
      <c r="H34" s="41"/>
    </row>
    <row r="35" spans="1:8" ht="27" thickBot="1">
      <c r="A35" s="39" t="s">
        <v>116</v>
      </c>
      <c r="B35" s="39" t="s">
        <v>107</v>
      </c>
      <c r="C35" s="39" t="s">
        <v>125</v>
      </c>
      <c r="D35" s="39" t="s">
        <v>109</v>
      </c>
      <c r="E35" s="39" t="s">
        <v>110</v>
      </c>
      <c r="F35" s="39" t="s">
        <v>111</v>
      </c>
      <c r="G35" s="42">
        <v>26000</v>
      </c>
      <c r="H35" s="41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C1" workbookViewId="0">
      <selection activeCell="I8" sqref="I8"/>
    </sheetView>
  </sheetViews>
  <sheetFormatPr defaultRowHeight="15.75"/>
  <cols>
    <col min="1" max="1" width="5.875" bestFit="1" customWidth="1"/>
    <col min="2" max="2" width="16.375" bestFit="1" customWidth="1"/>
    <col min="3" max="3" width="10.875" bestFit="1" customWidth="1"/>
    <col min="4" max="4" width="28" bestFit="1" customWidth="1"/>
    <col min="5" max="5" width="19.125" bestFit="1" customWidth="1"/>
    <col min="6" max="6" width="22.875" bestFit="1" customWidth="1"/>
    <col min="7" max="7" width="21" bestFit="1" customWidth="1"/>
  </cols>
  <sheetData>
    <row r="1" spans="1:7" ht="32.25" thickBot="1">
      <c r="A1" s="94" t="s">
        <v>205</v>
      </c>
      <c r="B1" s="94"/>
      <c r="C1" s="94"/>
      <c r="D1" s="94"/>
      <c r="E1" s="94"/>
      <c r="F1" s="94"/>
      <c r="G1" s="94"/>
    </row>
    <row r="2" spans="1:7" ht="24" thickBot="1">
      <c r="A2" s="44"/>
      <c r="B2" s="44" t="s">
        <v>138</v>
      </c>
      <c r="C2" s="44"/>
      <c r="D2" s="44"/>
      <c r="E2" s="44"/>
      <c r="F2" s="44"/>
      <c r="G2" s="44" t="s">
        <v>139</v>
      </c>
    </row>
    <row r="3" spans="1:7" ht="24" thickBot="1">
      <c r="A3" s="45" t="s">
        <v>140</v>
      </c>
      <c r="B3" s="45" t="s">
        <v>141</v>
      </c>
      <c r="C3" s="45" t="s">
        <v>142</v>
      </c>
      <c r="D3" s="45" t="s">
        <v>143</v>
      </c>
      <c r="E3" s="45" t="s">
        <v>144</v>
      </c>
      <c r="F3" s="45" t="s">
        <v>145</v>
      </c>
      <c r="G3" s="46">
        <v>6900</v>
      </c>
    </row>
    <row r="4" spans="1:7" ht="24" thickBot="1">
      <c r="A4" s="45" t="s">
        <v>146</v>
      </c>
      <c r="B4" s="45" t="s">
        <v>141</v>
      </c>
      <c r="C4" s="45" t="s">
        <v>142</v>
      </c>
      <c r="D4" s="45" t="s">
        <v>143</v>
      </c>
      <c r="E4" s="45" t="s">
        <v>144</v>
      </c>
      <c r="F4" s="45" t="s">
        <v>145</v>
      </c>
      <c r="G4" s="46">
        <v>7000</v>
      </c>
    </row>
    <row r="5" spans="1:7" ht="24" thickBot="1">
      <c r="A5" s="45" t="s">
        <v>147</v>
      </c>
      <c r="B5" s="45" t="s">
        <v>141</v>
      </c>
      <c r="C5" s="45" t="s">
        <v>142</v>
      </c>
      <c r="D5" s="45" t="s">
        <v>143</v>
      </c>
      <c r="E5" s="45" t="s">
        <v>144</v>
      </c>
      <c r="F5" s="45" t="s">
        <v>145</v>
      </c>
      <c r="G5" s="46">
        <v>7300</v>
      </c>
    </row>
    <row r="6" spans="1:7" ht="24" thickBot="1">
      <c r="A6" s="45" t="s">
        <v>148</v>
      </c>
      <c r="B6" s="45" t="s">
        <v>141</v>
      </c>
      <c r="C6" s="45" t="s">
        <v>142</v>
      </c>
      <c r="D6" s="45" t="s">
        <v>149</v>
      </c>
      <c r="E6" s="45" t="s">
        <v>144</v>
      </c>
      <c r="F6" s="45" t="s">
        <v>145</v>
      </c>
      <c r="G6" s="46">
        <v>11800</v>
      </c>
    </row>
    <row r="7" spans="1:7" ht="24" thickBot="1">
      <c r="A7" s="45" t="s">
        <v>150</v>
      </c>
      <c r="B7" s="45" t="s">
        <v>141</v>
      </c>
      <c r="C7" s="45" t="s">
        <v>142</v>
      </c>
      <c r="D7" s="45" t="s">
        <v>149</v>
      </c>
      <c r="E7" s="45" t="s">
        <v>144</v>
      </c>
      <c r="F7" s="45" t="s">
        <v>145</v>
      </c>
      <c r="G7" s="46">
        <v>11900</v>
      </c>
    </row>
    <row r="8" spans="1:7" ht="24" thickBot="1">
      <c r="A8" s="45" t="s">
        <v>151</v>
      </c>
      <c r="B8" s="45" t="s">
        <v>141</v>
      </c>
      <c r="C8" s="45" t="s">
        <v>142</v>
      </c>
      <c r="D8" s="45" t="s">
        <v>838</v>
      </c>
      <c r="E8" s="45" t="s">
        <v>144</v>
      </c>
      <c r="F8" s="45" t="s">
        <v>145</v>
      </c>
      <c r="G8" s="46">
        <v>13000</v>
      </c>
    </row>
    <row r="9" spans="1:7" ht="24" thickBot="1">
      <c r="A9" s="45" t="s">
        <v>152</v>
      </c>
      <c r="B9" s="45" t="s">
        <v>141</v>
      </c>
      <c r="C9" s="45" t="s">
        <v>142</v>
      </c>
      <c r="D9" s="45" t="s">
        <v>838</v>
      </c>
      <c r="E9" s="45" t="s">
        <v>144</v>
      </c>
      <c r="F9" s="45" t="s">
        <v>145</v>
      </c>
      <c r="G9" s="46">
        <v>13200</v>
      </c>
    </row>
    <row r="10" spans="1:7" ht="21.75" thickBot="1">
      <c r="A10" s="45"/>
      <c r="B10" s="45"/>
      <c r="C10" s="45"/>
      <c r="D10" s="45" t="s">
        <v>104</v>
      </c>
      <c r="E10" s="45"/>
      <c r="F10" s="45"/>
      <c r="G10" s="45"/>
    </row>
    <row r="11" spans="1:7" ht="24" thickBot="1">
      <c r="A11" s="44"/>
      <c r="B11" s="44" t="s">
        <v>153</v>
      </c>
      <c r="C11" s="44"/>
      <c r="D11" s="44" t="s">
        <v>104</v>
      </c>
      <c r="E11" s="44"/>
      <c r="F11" s="44"/>
      <c r="G11" s="44" t="s">
        <v>139</v>
      </c>
    </row>
    <row r="12" spans="1:7" ht="24" thickBot="1">
      <c r="A12" s="45" t="s">
        <v>140</v>
      </c>
      <c r="B12" s="45" t="s">
        <v>141</v>
      </c>
      <c r="C12" s="45" t="s">
        <v>142</v>
      </c>
      <c r="D12" s="45" t="s">
        <v>143</v>
      </c>
      <c r="E12" s="45" t="s">
        <v>144</v>
      </c>
      <c r="F12" s="45" t="s">
        <v>145</v>
      </c>
      <c r="G12" s="46">
        <v>7500</v>
      </c>
    </row>
    <row r="13" spans="1:7" ht="24" thickBot="1">
      <c r="A13" s="45" t="s">
        <v>146</v>
      </c>
      <c r="B13" s="45" t="s">
        <v>141</v>
      </c>
      <c r="C13" s="45" t="s">
        <v>142</v>
      </c>
      <c r="D13" s="45" t="s">
        <v>143</v>
      </c>
      <c r="E13" s="45" t="s">
        <v>144</v>
      </c>
      <c r="F13" s="45" t="s">
        <v>145</v>
      </c>
      <c r="G13" s="46">
        <v>7700</v>
      </c>
    </row>
    <row r="14" spans="1:7" ht="24" thickBot="1">
      <c r="A14" s="45" t="s">
        <v>147</v>
      </c>
      <c r="B14" s="45" t="s">
        <v>141</v>
      </c>
      <c r="C14" s="45" t="s">
        <v>142</v>
      </c>
      <c r="D14" s="45" t="s">
        <v>143</v>
      </c>
      <c r="E14" s="45" t="s">
        <v>144</v>
      </c>
      <c r="F14" s="45" t="s">
        <v>145</v>
      </c>
      <c r="G14" s="46">
        <v>8500</v>
      </c>
    </row>
    <row r="15" spans="1:7" ht="24" thickBot="1">
      <c r="A15" s="45" t="s">
        <v>148</v>
      </c>
      <c r="B15" s="45" t="s">
        <v>141</v>
      </c>
      <c r="C15" s="45" t="s">
        <v>142</v>
      </c>
      <c r="D15" s="45" t="s">
        <v>149</v>
      </c>
      <c r="E15" s="45" t="s">
        <v>144</v>
      </c>
      <c r="F15" s="45" t="s">
        <v>145</v>
      </c>
      <c r="G15" s="46">
        <v>13300</v>
      </c>
    </row>
    <row r="16" spans="1:7" ht="24" thickBot="1">
      <c r="A16" s="45" t="s">
        <v>150</v>
      </c>
      <c r="B16" s="45" t="s">
        <v>141</v>
      </c>
      <c r="C16" s="45" t="s">
        <v>142</v>
      </c>
      <c r="D16" s="45" t="s">
        <v>149</v>
      </c>
      <c r="E16" s="45" t="s">
        <v>144</v>
      </c>
      <c r="F16" s="45" t="s">
        <v>145</v>
      </c>
      <c r="G16" s="46">
        <v>14000</v>
      </c>
    </row>
    <row r="17" spans="1:7" ht="24" thickBot="1">
      <c r="A17" s="45" t="s">
        <v>151</v>
      </c>
      <c r="B17" s="45" t="s">
        <v>141</v>
      </c>
      <c r="C17" s="45" t="s">
        <v>142</v>
      </c>
      <c r="D17" s="45" t="s">
        <v>838</v>
      </c>
      <c r="E17" s="45" t="s">
        <v>144</v>
      </c>
      <c r="F17" s="45" t="s">
        <v>145</v>
      </c>
      <c r="G17" s="46">
        <v>17000</v>
      </c>
    </row>
    <row r="18" spans="1:7" ht="24" thickBot="1">
      <c r="A18" s="45" t="s">
        <v>152</v>
      </c>
      <c r="B18" s="45" t="s">
        <v>141</v>
      </c>
      <c r="C18" s="45" t="s">
        <v>142</v>
      </c>
      <c r="D18" s="45" t="s">
        <v>838</v>
      </c>
      <c r="E18" s="45" t="s">
        <v>144</v>
      </c>
      <c r="F18" s="45" t="s">
        <v>145</v>
      </c>
      <c r="G18" s="46">
        <v>18600</v>
      </c>
    </row>
    <row r="19" spans="1:7" ht="21.75" thickBot="1">
      <c r="A19" s="45"/>
      <c r="B19" s="45"/>
      <c r="C19" s="45"/>
      <c r="D19" s="45"/>
      <c r="E19" s="45"/>
      <c r="F19" s="45"/>
      <c r="G19" s="45"/>
    </row>
    <row r="20" spans="1:7" ht="24" thickBot="1">
      <c r="A20" s="44"/>
      <c r="B20" s="44" t="s">
        <v>154</v>
      </c>
      <c r="C20" s="44"/>
      <c r="D20" s="44"/>
      <c r="E20" s="44"/>
      <c r="F20" s="44"/>
      <c r="G20" s="44" t="s">
        <v>139</v>
      </c>
    </row>
    <row r="21" spans="1:7" ht="24" thickBot="1">
      <c r="A21" s="45" t="s">
        <v>140</v>
      </c>
      <c r="B21" s="45" t="s">
        <v>141</v>
      </c>
      <c r="C21" s="45" t="s">
        <v>142</v>
      </c>
      <c r="D21" s="45" t="s">
        <v>143</v>
      </c>
      <c r="E21" s="45" t="s">
        <v>144</v>
      </c>
      <c r="F21" s="45" t="s">
        <v>145</v>
      </c>
      <c r="G21" s="46">
        <v>9300</v>
      </c>
    </row>
    <row r="22" spans="1:7" ht="24" thickBot="1">
      <c r="A22" s="45" t="s">
        <v>146</v>
      </c>
      <c r="B22" s="45" t="s">
        <v>141</v>
      </c>
      <c r="C22" s="45" t="s">
        <v>142</v>
      </c>
      <c r="D22" s="45" t="s">
        <v>143</v>
      </c>
      <c r="E22" s="45" t="s">
        <v>144</v>
      </c>
      <c r="F22" s="45" t="s">
        <v>145</v>
      </c>
      <c r="G22" s="46">
        <v>9500</v>
      </c>
    </row>
    <row r="23" spans="1:7" ht="24" thickBot="1">
      <c r="A23" s="45" t="s">
        <v>147</v>
      </c>
      <c r="B23" s="45" t="s">
        <v>141</v>
      </c>
      <c r="C23" s="45" t="s">
        <v>142</v>
      </c>
      <c r="D23" s="45" t="s">
        <v>143</v>
      </c>
      <c r="E23" s="45" t="s">
        <v>144</v>
      </c>
      <c r="F23" s="45" t="s">
        <v>145</v>
      </c>
      <c r="G23" s="46">
        <v>9500</v>
      </c>
    </row>
    <row r="24" spans="1:7" ht="24" thickBot="1">
      <c r="A24" s="45" t="s">
        <v>148</v>
      </c>
      <c r="B24" s="45" t="s">
        <v>141</v>
      </c>
      <c r="C24" s="45" t="s">
        <v>142</v>
      </c>
      <c r="D24" s="45" t="s">
        <v>149</v>
      </c>
      <c r="E24" s="45" t="s">
        <v>144</v>
      </c>
      <c r="F24" s="45" t="s">
        <v>145</v>
      </c>
      <c r="G24" s="46">
        <v>15800</v>
      </c>
    </row>
    <row r="25" spans="1:7" ht="24" thickBot="1">
      <c r="A25" s="45" t="s">
        <v>150</v>
      </c>
      <c r="B25" s="45" t="s">
        <v>141</v>
      </c>
      <c r="C25" s="45" t="s">
        <v>142</v>
      </c>
      <c r="D25" s="45" t="s">
        <v>149</v>
      </c>
      <c r="E25" s="45" t="s">
        <v>144</v>
      </c>
      <c r="F25" s="45" t="s">
        <v>145</v>
      </c>
      <c r="G25" s="46">
        <v>17000</v>
      </c>
    </row>
    <row r="26" spans="1:7" ht="24" thickBot="1">
      <c r="A26" s="45" t="s">
        <v>151</v>
      </c>
      <c r="B26" s="45" t="s">
        <v>141</v>
      </c>
      <c r="C26" s="45" t="s">
        <v>142</v>
      </c>
      <c r="D26" s="45" t="s">
        <v>838</v>
      </c>
      <c r="E26" s="45" t="s">
        <v>144</v>
      </c>
      <c r="F26" s="45" t="s">
        <v>145</v>
      </c>
      <c r="G26" s="46">
        <v>12400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zoomScale="55" zoomScaleNormal="55" workbookViewId="0">
      <selection activeCell="B41" sqref="B41"/>
    </sheetView>
  </sheetViews>
  <sheetFormatPr defaultRowHeight="15.75"/>
  <cols>
    <col min="1" max="1" width="219.5" bestFit="1" customWidth="1"/>
    <col min="2" max="2" width="27" bestFit="1" customWidth="1"/>
    <col min="3" max="3" width="11.375" customWidth="1"/>
    <col min="4" max="4" width="8.875" bestFit="1" customWidth="1"/>
  </cols>
  <sheetData>
    <row r="1" spans="1:4" ht="30.75" thickBot="1">
      <c r="A1" s="95" t="s">
        <v>155</v>
      </c>
      <c r="B1" s="96"/>
      <c r="C1" s="96"/>
      <c r="D1" s="97"/>
    </row>
    <row r="2" spans="1:4" ht="36.75" thickBot="1">
      <c r="A2" s="98" t="s">
        <v>204</v>
      </c>
      <c r="B2" s="99"/>
      <c r="C2" s="99"/>
      <c r="D2" s="100"/>
    </row>
    <row r="3" spans="1:4" ht="32.25" thickBot="1">
      <c r="A3" s="47" t="s">
        <v>156</v>
      </c>
      <c r="B3" s="47" t="s">
        <v>157</v>
      </c>
      <c r="C3" s="48" t="s">
        <v>86</v>
      </c>
      <c r="D3" s="48" t="s">
        <v>158</v>
      </c>
    </row>
    <row r="4" spans="1:4" ht="27" thickBot="1">
      <c r="A4" s="49" t="s">
        <v>159</v>
      </c>
      <c r="B4" s="50" t="s">
        <v>160</v>
      </c>
      <c r="C4" s="51">
        <v>37700</v>
      </c>
      <c r="D4" s="19">
        <v>2</v>
      </c>
    </row>
    <row r="5" spans="1:4" ht="27" thickBot="1">
      <c r="A5" s="49" t="s">
        <v>161</v>
      </c>
      <c r="B5" s="50" t="s">
        <v>162</v>
      </c>
      <c r="C5" s="51">
        <v>30900</v>
      </c>
      <c r="D5" s="19">
        <v>1</v>
      </c>
    </row>
    <row r="6" spans="1:4" ht="27" thickBot="1">
      <c r="A6" s="49" t="s">
        <v>163</v>
      </c>
      <c r="B6" s="50" t="s">
        <v>164</v>
      </c>
      <c r="C6" s="51">
        <v>41000</v>
      </c>
      <c r="D6" s="19">
        <v>1</v>
      </c>
    </row>
    <row r="7" spans="1:4" ht="27" thickBot="1">
      <c r="A7" s="49" t="s">
        <v>165</v>
      </c>
      <c r="B7" s="50" t="s">
        <v>166</v>
      </c>
      <c r="C7" s="51">
        <v>25500</v>
      </c>
      <c r="D7" s="19">
        <v>3</v>
      </c>
    </row>
    <row r="8" spans="1:4" ht="27" thickBot="1">
      <c r="A8" s="52" t="s">
        <v>167</v>
      </c>
      <c r="B8" s="50" t="s">
        <v>168</v>
      </c>
      <c r="C8" s="51">
        <v>32200</v>
      </c>
      <c r="D8" s="40">
        <v>2</v>
      </c>
    </row>
    <row r="9" spans="1:4" ht="27" thickBot="1">
      <c r="A9" s="53" t="s">
        <v>169</v>
      </c>
      <c r="B9" s="54" t="s">
        <v>170</v>
      </c>
      <c r="C9" s="51">
        <v>44000</v>
      </c>
      <c r="D9" s="55">
        <v>1</v>
      </c>
    </row>
    <row r="10" spans="1:4" ht="27" thickBot="1">
      <c r="A10" s="56" t="s">
        <v>171</v>
      </c>
      <c r="B10" s="57" t="s">
        <v>172</v>
      </c>
      <c r="C10" s="51">
        <v>39000</v>
      </c>
      <c r="D10" s="19">
        <v>3</v>
      </c>
    </row>
    <row r="11" spans="1:4" ht="27" thickBot="1">
      <c r="A11" s="56" t="s">
        <v>173</v>
      </c>
      <c r="B11" s="57" t="s">
        <v>174</v>
      </c>
      <c r="C11" s="51">
        <v>36700</v>
      </c>
      <c r="D11" s="19">
        <v>2</v>
      </c>
    </row>
    <row r="12" spans="1:4" ht="27" thickBot="1">
      <c r="A12" s="58" t="s">
        <v>175</v>
      </c>
      <c r="B12" s="57" t="s">
        <v>176</v>
      </c>
      <c r="C12" s="51">
        <v>20900</v>
      </c>
      <c r="D12" s="19">
        <v>8</v>
      </c>
    </row>
    <row r="13" spans="1:4" ht="27" thickBot="1">
      <c r="A13" s="59" t="s">
        <v>177</v>
      </c>
      <c r="B13" s="50" t="s">
        <v>178</v>
      </c>
      <c r="C13" s="51">
        <v>33000</v>
      </c>
      <c r="D13" s="19">
        <v>2</v>
      </c>
    </row>
    <row r="14" spans="1:4" ht="27" thickBot="1">
      <c r="A14" s="59" t="s">
        <v>179</v>
      </c>
      <c r="B14" s="60" t="s">
        <v>180</v>
      </c>
      <c r="C14" s="51">
        <v>40200</v>
      </c>
      <c r="D14" s="19">
        <v>3</v>
      </c>
    </row>
    <row r="15" spans="1:4" ht="27" thickBot="1">
      <c r="A15" s="59" t="s">
        <v>181</v>
      </c>
      <c r="B15" s="50" t="s">
        <v>182</v>
      </c>
      <c r="C15" s="51">
        <v>34800</v>
      </c>
      <c r="D15" s="19">
        <v>3</v>
      </c>
    </row>
    <row r="16" spans="1:4" ht="29.25" thickBot="1">
      <c r="A16" s="61" t="s">
        <v>183</v>
      </c>
      <c r="B16" s="62" t="s">
        <v>184</v>
      </c>
      <c r="C16" s="63">
        <v>29300</v>
      </c>
      <c r="D16" s="64">
        <v>4</v>
      </c>
    </row>
    <row r="17" spans="1:4" ht="29.25" thickBot="1">
      <c r="A17" s="65" t="s">
        <v>185</v>
      </c>
      <c r="B17" s="66" t="s">
        <v>186</v>
      </c>
      <c r="C17" s="67">
        <v>32600</v>
      </c>
      <c r="D17" s="68">
        <v>3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2" sqref="A2"/>
    </sheetView>
  </sheetViews>
  <sheetFormatPr defaultRowHeight="15.75"/>
  <cols>
    <col min="1" max="1" width="59" bestFit="1" customWidth="1"/>
    <col min="2" max="2" width="9.25" bestFit="1" customWidth="1"/>
  </cols>
  <sheetData>
    <row r="1" spans="1:2" ht="27" thickBot="1">
      <c r="A1" s="69" t="s">
        <v>203</v>
      </c>
      <c r="B1" s="69" t="s">
        <v>86</v>
      </c>
    </row>
    <row r="2" spans="1:2" ht="21.75" thickBot="1">
      <c r="A2" s="45" t="s">
        <v>187</v>
      </c>
      <c r="B2" s="45">
        <v>2650</v>
      </c>
    </row>
    <row r="3" spans="1:2" ht="21.75" thickBot="1">
      <c r="A3" s="45"/>
      <c r="B3" s="45"/>
    </row>
    <row r="4" spans="1:2" ht="21.75" thickBot="1">
      <c r="A4" s="45" t="s">
        <v>188</v>
      </c>
      <c r="B4" s="45">
        <v>5200</v>
      </c>
    </row>
    <row r="5" spans="1:2" ht="21.75" thickBot="1">
      <c r="A5" s="45"/>
      <c r="B5" s="45"/>
    </row>
    <row r="6" spans="1:2" ht="21.75" thickBot="1">
      <c r="A6" s="45" t="s">
        <v>189</v>
      </c>
      <c r="B6" s="45">
        <v>1350</v>
      </c>
    </row>
    <row r="7" spans="1:2" ht="21.75" thickBot="1">
      <c r="A7" s="45"/>
      <c r="B7" s="45"/>
    </row>
    <row r="8" spans="1:2" ht="21.75" thickBot="1">
      <c r="A8" s="45" t="s">
        <v>190</v>
      </c>
      <c r="B8" s="45">
        <v>68</v>
      </c>
    </row>
    <row r="9" spans="1:2" ht="21.75" thickBot="1">
      <c r="A9" s="45" t="s">
        <v>191</v>
      </c>
      <c r="B9" s="45">
        <v>74</v>
      </c>
    </row>
    <row r="10" spans="1:2" ht="21.75" thickBot="1">
      <c r="A10" s="45"/>
      <c r="B10" s="45"/>
    </row>
    <row r="11" spans="1:2" ht="21.75" thickBot="1">
      <c r="A11" s="45" t="s">
        <v>192</v>
      </c>
      <c r="B11" s="45">
        <v>2350</v>
      </c>
    </row>
    <row r="12" spans="1:2" ht="21.75" thickBot="1">
      <c r="A12" s="45" t="s">
        <v>193</v>
      </c>
      <c r="B12" s="45">
        <v>2450</v>
      </c>
    </row>
    <row r="13" spans="1:2" ht="21.75" thickBot="1">
      <c r="A13" s="45" t="s">
        <v>194</v>
      </c>
      <c r="B13" s="45">
        <v>4750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F11" sqref="F11"/>
    </sheetView>
  </sheetViews>
  <sheetFormatPr defaultRowHeight="15.75"/>
  <cols>
    <col min="1" max="1" width="64.375" bestFit="1" customWidth="1"/>
  </cols>
  <sheetData>
    <row r="1" spans="1:2" ht="24" thickBot="1">
      <c r="A1" s="101" t="s">
        <v>195</v>
      </c>
      <c r="B1" s="101"/>
    </row>
    <row r="2" spans="1:2" ht="24" thickBot="1">
      <c r="A2" s="70" t="s">
        <v>196</v>
      </c>
      <c r="B2" s="70" t="s">
        <v>197</v>
      </c>
    </row>
    <row r="3" spans="1:2" ht="21.75" thickBot="1">
      <c r="A3" s="71" t="s">
        <v>198</v>
      </c>
      <c r="B3" s="71">
        <v>6300</v>
      </c>
    </row>
    <row r="4" spans="1:2" ht="21.75" thickBot="1">
      <c r="A4" s="71" t="s">
        <v>199</v>
      </c>
      <c r="B4" s="71">
        <v>8000</v>
      </c>
    </row>
    <row r="5" spans="1:2" ht="21.75" thickBot="1">
      <c r="A5" s="71" t="s">
        <v>200</v>
      </c>
      <c r="B5" s="71">
        <v>7400</v>
      </c>
    </row>
    <row r="6" spans="1:2" ht="21.75" thickBot="1">
      <c r="A6" s="71" t="s">
        <v>201</v>
      </c>
      <c r="B6" s="71">
        <v>5750</v>
      </c>
    </row>
    <row r="7" spans="1:2" ht="21.75" thickBot="1">
      <c r="A7" s="71" t="s">
        <v>202</v>
      </c>
      <c r="B7" s="71">
        <v>1700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2" sqref="A2"/>
    </sheetView>
  </sheetViews>
  <sheetFormatPr defaultRowHeight="15.75"/>
  <cols>
    <col min="1" max="1" width="49.75" bestFit="1" customWidth="1"/>
    <col min="2" max="2" width="9.25" bestFit="1" customWidth="1"/>
  </cols>
  <sheetData>
    <row r="1" spans="1:2" ht="26.25">
      <c r="A1" s="72" t="s">
        <v>852</v>
      </c>
      <c r="B1" s="72" t="s">
        <v>86</v>
      </c>
    </row>
    <row r="2" spans="1:2">
      <c r="A2" s="73"/>
      <c r="B2" s="73"/>
    </row>
    <row r="3" spans="1:2" ht="26.25">
      <c r="A3" s="74" t="s">
        <v>208</v>
      </c>
      <c r="B3" s="75">
        <v>4800</v>
      </c>
    </row>
    <row r="4" spans="1:2" ht="26.25">
      <c r="A4" s="74" t="s">
        <v>209</v>
      </c>
      <c r="B4" s="75">
        <v>5800</v>
      </c>
    </row>
    <row r="5" spans="1:2" ht="26.25">
      <c r="A5" s="74" t="s">
        <v>210</v>
      </c>
      <c r="B5" s="75">
        <v>6850</v>
      </c>
    </row>
    <row r="6" spans="1:2" ht="26.25">
      <c r="A6" s="74" t="s">
        <v>211</v>
      </c>
      <c r="B6" s="75">
        <v>7600</v>
      </c>
    </row>
    <row r="7" spans="1:2" ht="26.25">
      <c r="A7" s="74" t="s">
        <v>212</v>
      </c>
      <c r="B7" s="76">
        <v>9000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2" sqref="A2"/>
    </sheetView>
  </sheetViews>
  <sheetFormatPr defaultRowHeight="15.75"/>
  <cols>
    <col min="1" max="1" width="78.75" bestFit="1" customWidth="1"/>
    <col min="2" max="2" width="10.75" bestFit="1" customWidth="1"/>
  </cols>
  <sheetData>
    <row r="1" spans="1:2" ht="26.25">
      <c r="A1" s="77" t="s">
        <v>853</v>
      </c>
      <c r="B1" s="78" t="s">
        <v>86</v>
      </c>
    </row>
    <row r="2" spans="1:2" ht="26.25">
      <c r="A2" s="74" t="s">
        <v>213</v>
      </c>
      <c r="B2" s="73"/>
    </row>
    <row r="3" spans="1:2" ht="26.25">
      <c r="A3" s="74" t="s">
        <v>214</v>
      </c>
      <c r="B3" s="75">
        <v>13500</v>
      </c>
    </row>
    <row r="4" spans="1:2" ht="28.5">
      <c r="A4" s="79" t="s">
        <v>215</v>
      </c>
      <c r="B4" s="75">
        <v>30000</v>
      </c>
    </row>
    <row r="5" spans="1:2" ht="26.25">
      <c r="A5" s="75" t="s">
        <v>216</v>
      </c>
      <c r="B5" s="74">
        <v>8000</v>
      </c>
    </row>
    <row r="6" spans="1:2">
      <c r="A6" s="73"/>
      <c r="B6" s="73"/>
    </row>
    <row r="7" spans="1:2" ht="28.5">
      <c r="A7" s="79" t="s">
        <v>217</v>
      </c>
      <c r="B7" s="73"/>
    </row>
    <row r="8" spans="1:2">
      <c r="A8" s="73"/>
      <c r="B8" s="73"/>
    </row>
    <row r="9" spans="1:2" ht="28.5">
      <c r="A9" s="79" t="s">
        <v>218</v>
      </c>
      <c r="B9" s="79">
        <v>17000</v>
      </c>
    </row>
    <row r="10" spans="1:2" ht="28.5">
      <c r="A10" s="79" t="s">
        <v>219</v>
      </c>
      <c r="B10" s="79">
        <v>25000</v>
      </c>
    </row>
    <row r="11" spans="1:2" ht="28.5">
      <c r="A11" s="79" t="s">
        <v>220</v>
      </c>
      <c r="B11" s="79">
        <v>30000</v>
      </c>
    </row>
    <row r="12" spans="1:2" ht="28.5">
      <c r="A12" s="79" t="s">
        <v>221</v>
      </c>
      <c r="B12" s="79">
        <v>35000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workbookViewId="0">
      <selection activeCell="A3" sqref="A3:B3"/>
    </sheetView>
  </sheetViews>
  <sheetFormatPr defaultRowHeight="15.75"/>
  <cols>
    <col min="1" max="1" width="81.875" bestFit="1" customWidth="1"/>
    <col min="3" max="3" width="8.375" bestFit="1" customWidth="1"/>
  </cols>
  <sheetData>
    <row r="1" spans="1:3" ht="26.25">
      <c r="A1" s="104" t="s">
        <v>854</v>
      </c>
      <c r="B1" s="105"/>
      <c r="C1" s="106"/>
    </row>
    <row r="2" spans="1:3" ht="23.25">
      <c r="A2" s="102" t="s">
        <v>222</v>
      </c>
      <c r="B2" s="102"/>
      <c r="C2" s="75" t="s">
        <v>86</v>
      </c>
    </row>
    <row r="3" spans="1:3" ht="23.25">
      <c r="A3" s="103" t="s">
        <v>223</v>
      </c>
      <c r="B3" s="103"/>
      <c r="C3" s="75">
        <v>360</v>
      </c>
    </row>
    <row r="4" spans="1:3" ht="23.25">
      <c r="A4" s="103" t="s">
        <v>224</v>
      </c>
      <c r="B4" s="103"/>
      <c r="C4" s="75">
        <v>385</v>
      </c>
    </row>
    <row r="5" spans="1:3" ht="23.25">
      <c r="A5" s="103" t="s">
        <v>225</v>
      </c>
      <c r="B5" s="103"/>
      <c r="C5" s="75">
        <v>375</v>
      </c>
    </row>
    <row r="6" spans="1:3" ht="23.25">
      <c r="A6" s="103" t="s">
        <v>226</v>
      </c>
      <c r="B6" s="103"/>
      <c r="C6" s="75">
        <v>375</v>
      </c>
    </row>
    <row r="7" spans="1:3" ht="23.25">
      <c r="A7" s="103" t="s">
        <v>227</v>
      </c>
      <c r="B7" s="103"/>
      <c r="C7" s="75">
        <v>170</v>
      </c>
    </row>
    <row r="8" spans="1:3" ht="23.25">
      <c r="A8" s="103" t="s">
        <v>228</v>
      </c>
      <c r="B8" s="103"/>
      <c r="C8" s="75">
        <v>375</v>
      </c>
    </row>
    <row r="9" spans="1:3" ht="23.25">
      <c r="A9" s="103" t="s">
        <v>229</v>
      </c>
      <c r="B9" s="103"/>
      <c r="C9" s="75">
        <v>375</v>
      </c>
    </row>
    <row r="10" spans="1:3" ht="23.25">
      <c r="A10" s="103" t="s">
        <v>230</v>
      </c>
      <c r="B10" s="103"/>
      <c r="C10" s="75">
        <v>360</v>
      </c>
    </row>
    <row r="11" spans="1:3" ht="23.25">
      <c r="A11" s="103" t="s">
        <v>231</v>
      </c>
      <c r="B11" s="103"/>
      <c r="C11" s="75">
        <v>360</v>
      </c>
    </row>
    <row r="12" spans="1:3" ht="23.25">
      <c r="A12" s="103" t="s">
        <v>232</v>
      </c>
      <c r="B12" s="103"/>
      <c r="C12" s="75">
        <v>385</v>
      </c>
    </row>
    <row r="13" spans="1:3" ht="23.25">
      <c r="A13" s="103" t="s">
        <v>233</v>
      </c>
      <c r="B13" s="103"/>
      <c r="C13" s="75">
        <v>375</v>
      </c>
    </row>
    <row r="14" spans="1:3" ht="23.25">
      <c r="A14" s="103" t="s">
        <v>234</v>
      </c>
      <c r="B14" s="103"/>
      <c r="C14" s="75">
        <v>395</v>
      </c>
    </row>
    <row r="15" spans="1:3" ht="23.25">
      <c r="A15" s="103" t="s">
        <v>235</v>
      </c>
      <c r="B15" s="103"/>
      <c r="C15" s="75">
        <v>650</v>
      </c>
    </row>
    <row r="16" spans="1:3" ht="23.25">
      <c r="A16" s="103" t="s">
        <v>236</v>
      </c>
      <c r="B16" s="103"/>
      <c r="C16" s="75">
        <v>450</v>
      </c>
    </row>
    <row r="17" spans="1:3" ht="23.25">
      <c r="A17" s="102" t="s">
        <v>237</v>
      </c>
      <c r="B17" s="102"/>
      <c r="C17" s="75"/>
    </row>
    <row r="18" spans="1:3" ht="23.25">
      <c r="A18" s="81" t="s">
        <v>238</v>
      </c>
      <c r="B18" s="81"/>
      <c r="C18" s="75">
        <v>2050</v>
      </c>
    </row>
    <row r="19" spans="1:3" ht="23.25">
      <c r="A19" s="103" t="s">
        <v>239</v>
      </c>
      <c r="B19" s="103"/>
      <c r="C19" s="75">
        <v>2150</v>
      </c>
    </row>
    <row r="20" spans="1:3" ht="23.25">
      <c r="A20" s="102" t="s">
        <v>240</v>
      </c>
      <c r="B20" s="102"/>
      <c r="C20" s="75"/>
    </row>
    <row r="21" spans="1:3" ht="23.25">
      <c r="A21" s="81" t="s">
        <v>241</v>
      </c>
      <c r="B21" s="81"/>
      <c r="C21" s="75">
        <v>1050</v>
      </c>
    </row>
    <row r="22" spans="1:3" ht="23.25">
      <c r="A22" s="103" t="s">
        <v>242</v>
      </c>
      <c r="B22" s="103"/>
      <c r="C22" s="75">
        <v>60</v>
      </c>
    </row>
    <row r="23" spans="1:3" ht="23.25">
      <c r="A23" s="103" t="s">
        <v>243</v>
      </c>
      <c r="B23" s="103"/>
      <c r="C23" s="75">
        <v>100</v>
      </c>
    </row>
    <row r="24" spans="1:3" ht="23.25">
      <c r="A24" s="103" t="s">
        <v>244</v>
      </c>
      <c r="B24" s="103"/>
      <c r="C24" s="75">
        <v>350</v>
      </c>
    </row>
    <row r="25" spans="1:3" ht="23.25">
      <c r="A25" s="103" t="s">
        <v>245</v>
      </c>
      <c r="B25" s="103"/>
      <c r="C25" s="75">
        <v>375</v>
      </c>
    </row>
    <row r="26" spans="1:3" ht="23.25">
      <c r="A26" s="103" t="s">
        <v>246</v>
      </c>
      <c r="B26" s="103"/>
      <c r="C26" s="75">
        <v>575</v>
      </c>
    </row>
    <row r="27" spans="1:3" ht="23.25">
      <c r="A27" s="103" t="s">
        <v>247</v>
      </c>
      <c r="B27" s="103"/>
      <c r="C27" s="75">
        <v>675</v>
      </c>
    </row>
    <row r="28" spans="1:3" ht="23.25">
      <c r="A28" s="103" t="s">
        <v>248</v>
      </c>
      <c r="B28" s="103"/>
      <c r="C28" s="75">
        <v>90</v>
      </c>
    </row>
    <row r="29" spans="1:3" ht="23.25">
      <c r="A29" s="103" t="s">
        <v>249</v>
      </c>
      <c r="B29" s="103"/>
      <c r="C29" s="75">
        <v>140</v>
      </c>
    </row>
    <row r="30" spans="1:3" ht="23.25">
      <c r="A30" s="103" t="s">
        <v>250</v>
      </c>
      <c r="B30" s="103"/>
      <c r="C30" s="75">
        <v>100</v>
      </c>
    </row>
    <row r="31" spans="1:3" ht="23.25">
      <c r="A31" s="103" t="s">
        <v>251</v>
      </c>
      <c r="B31" s="103"/>
      <c r="C31" s="75">
        <v>48</v>
      </c>
    </row>
    <row r="32" spans="1:3" ht="23.25">
      <c r="A32" s="103" t="s">
        <v>252</v>
      </c>
      <c r="B32" s="103"/>
      <c r="C32" s="75">
        <v>150</v>
      </c>
    </row>
    <row r="33" spans="1:3" ht="23.25">
      <c r="A33" s="103" t="s">
        <v>253</v>
      </c>
      <c r="B33" s="103"/>
      <c r="C33" s="75">
        <v>65</v>
      </c>
    </row>
    <row r="34" spans="1:3" ht="23.25">
      <c r="A34" s="103" t="s">
        <v>254</v>
      </c>
      <c r="B34" s="103"/>
      <c r="C34" s="75">
        <v>85</v>
      </c>
    </row>
    <row r="35" spans="1:3" ht="23.25">
      <c r="A35" s="103" t="s">
        <v>255</v>
      </c>
      <c r="B35" s="103"/>
      <c r="C35" s="75">
        <v>40</v>
      </c>
    </row>
    <row r="36" spans="1:3" ht="23.25">
      <c r="A36" s="103" t="s">
        <v>256</v>
      </c>
      <c r="B36" s="103"/>
      <c r="C36" s="75">
        <v>40</v>
      </c>
    </row>
    <row r="37" spans="1:3" ht="23.25">
      <c r="A37" s="103" t="s">
        <v>257</v>
      </c>
      <c r="B37" s="103"/>
      <c r="C37" s="75">
        <v>70</v>
      </c>
    </row>
    <row r="38" spans="1:3" ht="23.25">
      <c r="A38" s="103" t="s">
        <v>258</v>
      </c>
      <c r="B38" s="103"/>
      <c r="C38" s="75">
        <v>110</v>
      </c>
    </row>
    <row r="39" spans="1:3" ht="23.25">
      <c r="A39" s="103" t="s">
        <v>259</v>
      </c>
      <c r="B39" s="103"/>
      <c r="C39" s="75">
        <v>90</v>
      </c>
    </row>
    <row r="40" spans="1:3" ht="23.25">
      <c r="A40" s="103" t="s">
        <v>260</v>
      </c>
      <c r="B40" s="103"/>
      <c r="C40" s="75">
        <v>135</v>
      </c>
    </row>
    <row r="41" spans="1:3" ht="23.25">
      <c r="A41" s="103" t="s">
        <v>261</v>
      </c>
      <c r="B41" s="103"/>
      <c r="C41" s="75">
        <v>180</v>
      </c>
    </row>
    <row r="42" spans="1:3" ht="23.25">
      <c r="A42" s="102" t="s">
        <v>262</v>
      </c>
      <c r="B42" s="102"/>
      <c r="C42" s="75"/>
    </row>
    <row r="43" spans="1:3" ht="23.25">
      <c r="A43" s="103" t="s">
        <v>263</v>
      </c>
      <c r="B43" s="103"/>
      <c r="C43" s="75">
        <v>190</v>
      </c>
    </row>
    <row r="44" spans="1:3" ht="23.25">
      <c r="A44" s="103" t="s">
        <v>264</v>
      </c>
      <c r="B44" s="103"/>
      <c r="C44" s="75">
        <v>165</v>
      </c>
    </row>
    <row r="45" spans="1:3" ht="23.25">
      <c r="A45" s="103" t="s">
        <v>265</v>
      </c>
      <c r="B45" s="103"/>
      <c r="C45" s="75">
        <v>155</v>
      </c>
    </row>
    <row r="46" spans="1:3" ht="23.25">
      <c r="A46" s="103" t="s">
        <v>266</v>
      </c>
      <c r="B46" s="103"/>
      <c r="C46" s="75">
        <v>150</v>
      </c>
    </row>
    <row r="47" spans="1:3" ht="23.25">
      <c r="A47" s="103" t="s">
        <v>267</v>
      </c>
      <c r="B47" s="103"/>
      <c r="C47" s="75">
        <v>230</v>
      </c>
    </row>
    <row r="48" spans="1:3" ht="23.25">
      <c r="A48" s="103" t="s">
        <v>268</v>
      </c>
      <c r="B48" s="103"/>
      <c r="C48" s="75">
        <v>320</v>
      </c>
    </row>
    <row r="49" spans="1:3" ht="23.25">
      <c r="A49" s="102" t="s">
        <v>269</v>
      </c>
      <c r="B49" s="102"/>
      <c r="C49" s="75" t="s">
        <v>104</v>
      </c>
    </row>
    <row r="50" spans="1:3" ht="23.25">
      <c r="A50" s="103" t="s">
        <v>270</v>
      </c>
      <c r="B50" s="103"/>
      <c r="C50" s="75">
        <v>140</v>
      </c>
    </row>
    <row r="51" spans="1:3" ht="23.25">
      <c r="A51" s="102" t="s">
        <v>271</v>
      </c>
      <c r="B51" s="102"/>
      <c r="C51" s="75"/>
    </row>
    <row r="52" spans="1:3" ht="23.25">
      <c r="A52" s="103" t="s">
        <v>272</v>
      </c>
      <c r="B52" s="103"/>
      <c r="C52" s="75">
        <v>1950</v>
      </c>
    </row>
    <row r="53" spans="1:3" ht="23.25">
      <c r="A53" s="102" t="s">
        <v>273</v>
      </c>
      <c r="B53" s="102"/>
      <c r="C53" s="75"/>
    </row>
    <row r="54" spans="1:3" ht="23.25">
      <c r="A54" s="103" t="s">
        <v>274</v>
      </c>
      <c r="B54" s="103"/>
      <c r="C54" s="75"/>
    </row>
    <row r="55" spans="1:3" ht="23.25">
      <c r="A55" s="103" t="s">
        <v>275</v>
      </c>
      <c r="B55" s="103"/>
      <c r="C55" s="75"/>
    </row>
    <row r="56" spans="1:3" ht="23.25">
      <c r="A56" s="102" t="s">
        <v>276</v>
      </c>
      <c r="B56" s="102"/>
      <c r="C56" s="75"/>
    </row>
    <row r="57" spans="1:3" ht="23.25">
      <c r="A57" s="103" t="s">
        <v>277</v>
      </c>
      <c r="B57" s="103"/>
      <c r="C57" s="75">
        <v>550</v>
      </c>
    </row>
    <row r="58" spans="1:3" ht="23.25">
      <c r="A58" s="103" t="s">
        <v>278</v>
      </c>
      <c r="B58" s="103"/>
      <c r="C58" s="75">
        <v>320</v>
      </c>
    </row>
    <row r="59" spans="1:3" ht="23.25">
      <c r="A59" s="82" t="s">
        <v>279</v>
      </c>
      <c r="B59" s="82"/>
      <c r="C59" s="75">
        <v>300</v>
      </c>
    </row>
    <row r="60" spans="1:3" ht="23.25">
      <c r="A60" s="103" t="s">
        <v>280</v>
      </c>
      <c r="B60" s="103"/>
      <c r="C60" s="75">
        <v>185</v>
      </c>
    </row>
    <row r="61" spans="1:3" ht="23.25">
      <c r="A61" s="103" t="s">
        <v>281</v>
      </c>
      <c r="B61" s="103"/>
      <c r="C61" s="75">
        <v>185</v>
      </c>
    </row>
    <row r="62" spans="1:3" ht="23.25">
      <c r="A62" s="103" t="s">
        <v>282</v>
      </c>
      <c r="B62" s="103"/>
      <c r="C62" s="75">
        <v>260</v>
      </c>
    </row>
    <row r="63" spans="1:3" ht="23.25">
      <c r="A63" s="103" t="s">
        <v>283</v>
      </c>
      <c r="B63" s="103"/>
      <c r="C63" s="75">
        <v>525</v>
      </c>
    </row>
    <row r="64" spans="1:3" ht="23.25">
      <c r="A64" s="82" t="s">
        <v>284</v>
      </c>
      <c r="B64" s="82"/>
      <c r="C64" s="75">
        <v>650</v>
      </c>
    </row>
    <row r="65" spans="1:3" ht="23.25">
      <c r="A65" s="103" t="s">
        <v>285</v>
      </c>
      <c r="B65" s="103"/>
      <c r="C65" s="75">
        <v>260</v>
      </c>
    </row>
    <row r="66" spans="1:3" ht="23.25">
      <c r="A66" s="102" t="s">
        <v>286</v>
      </c>
      <c r="B66" s="102"/>
      <c r="C66" s="75"/>
    </row>
    <row r="67" spans="1:3" ht="23.25">
      <c r="A67" s="103" t="s">
        <v>287</v>
      </c>
      <c r="B67" s="103"/>
      <c r="C67" s="75">
        <v>1275</v>
      </c>
    </row>
    <row r="68" spans="1:3" ht="23.25">
      <c r="A68" s="102" t="s">
        <v>288</v>
      </c>
      <c r="B68" s="102"/>
      <c r="C68" s="75"/>
    </row>
    <row r="69" spans="1:3" ht="23.25">
      <c r="A69" s="81" t="s">
        <v>289</v>
      </c>
      <c r="B69" s="81"/>
      <c r="C69" s="75">
        <v>280</v>
      </c>
    </row>
    <row r="70" spans="1:3" ht="23.25">
      <c r="A70" s="103" t="s">
        <v>290</v>
      </c>
      <c r="B70" s="103"/>
      <c r="C70" s="75">
        <v>140</v>
      </c>
    </row>
    <row r="71" spans="1:3" ht="23.25">
      <c r="A71" s="102" t="s">
        <v>291</v>
      </c>
      <c r="B71" s="102"/>
      <c r="C71" s="75"/>
    </row>
    <row r="72" spans="1:3" ht="23.25">
      <c r="A72" s="103" t="s">
        <v>292</v>
      </c>
      <c r="B72" s="103"/>
      <c r="C72" s="75">
        <v>895</v>
      </c>
    </row>
    <row r="73" spans="1:3" ht="23.25">
      <c r="A73" s="103" t="s">
        <v>293</v>
      </c>
      <c r="B73" s="103"/>
      <c r="C73" s="75">
        <v>1125</v>
      </c>
    </row>
    <row r="74" spans="1:3" ht="23.25">
      <c r="A74" s="103" t="s">
        <v>294</v>
      </c>
      <c r="B74" s="103"/>
      <c r="C74" s="75">
        <v>995</v>
      </c>
    </row>
    <row r="75" spans="1:3" ht="23.25">
      <c r="A75" s="103" t="s">
        <v>295</v>
      </c>
      <c r="B75" s="103"/>
      <c r="C75" s="75">
        <v>995</v>
      </c>
    </row>
    <row r="76" spans="1:3" ht="23.25">
      <c r="A76" s="103" t="s">
        <v>296</v>
      </c>
      <c r="B76" s="103"/>
      <c r="C76" s="75">
        <v>1125</v>
      </c>
    </row>
    <row r="77" spans="1:3" ht="23.25">
      <c r="A77" s="103" t="s">
        <v>297</v>
      </c>
      <c r="B77" s="103"/>
      <c r="C77" s="75">
        <v>925</v>
      </c>
    </row>
    <row r="78" spans="1:3" ht="23.25">
      <c r="A78" s="103" t="s">
        <v>298</v>
      </c>
      <c r="B78" s="103"/>
      <c r="C78" s="75">
        <v>995</v>
      </c>
    </row>
    <row r="79" spans="1:3" ht="23.25">
      <c r="A79" s="103" t="s">
        <v>299</v>
      </c>
      <c r="B79" s="103"/>
      <c r="C79" s="75">
        <v>895</v>
      </c>
    </row>
    <row r="80" spans="1:3" ht="23.25">
      <c r="A80" s="103" t="s">
        <v>300</v>
      </c>
      <c r="B80" s="103"/>
      <c r="C80" s="75">
        <v>895</v>
      </c>
    </row>
    <row r="81" spans="1:3" ht="23.25">
      <c r="A81" s="103" t="s">
        <v>301</v>
      </c>
      <c r="B81" s="103"/>
      <c r="C81" s="75">
        <v>895</v>
      </c>
    </row>
    <row r="82" spans="1:3" ht="23.25">
      <c r="A82" s="102" t="s">
        <v>302</v>
      </c>
      <c r="B82" s="102"/>
      <c r="C82" s="75"/>
    </row>
    <row r="83" spans="1:3" ht="23.25">
      <c r="A83" s="103" t="s">
        <v>303</v>
      </c>
      <c r="B83" s="103"/>
      <c r="C83" s="75">
        <v>525</v>
      </c>
    </row>
    <row r="84" spans="1:3" ht="23.25">
      <c r="A84" s="102" t="s">
        <v>304</v>
      </c>
      <c r="B84" s="102"/>
      <c r="C84" s="75"/>
    </row>
    <row r="85" spans="1:3" ht="23.25">
      <c r="A85" s="103" t="s">
        <v>305</v>
      </c>
      <c r="B85" s="103"/>
      <c r="C85" s="75">
        <v>3900</v>
      </c>
    </row>
    <row r="86" spans="1:3" ht="23.25">
      <c r="A86" s="103" t="s">
        <v>306</v>
      </c>
      <c r="B86" s="103"/>
      <c r="C86" s="75">
        <v>4000</v>
      </c>
    </row>
    <row r="87" spans="1:3" ht="23.25">
      <c r="A87" s="103" t="s">
        <v>307</v>
      </c>
      <c r="B87" s="103"/>
      <c r="C87" s="75">
        <v>1425</v>
      </c>
    </row>
    <row r="88" spans="1:3" ht="23.25">
      <c r="A88" s="103" t="s">
        <v>308</v>
      </c>
      <c r="B88" s="103"/>
      <c r="C88" s="75">
        <v>1625</v>
      </c>
    </row>
    <row r="89" spans="1:3" ht="23.25">
      <c r="A89" s="102" t="s">
        <v>309</v>
      </c>
      <c r="B89" s="102"/>
      <c r="C89" s="75"/>
    </row>
    <row r="90" spans="1:3" ht="23.25">
      <c r="A90" s="103" t="s">
        <v>310</v>
      </c>
      <c r="B90" s="103"/>
      <c r="C90" s="75">
        <v>75</v>
      </c>
    </row>
    <row r="91" spans="1:3" ht="23.25">
      <c r="A91" s="103" t="s">
        <v>311</v>
      </c>
      <c r="B91" s="103"/>
      <c r="C91" s="75">
        <v>320</v>
      </c>
    </row>
    <row r="92" spans="1:3" ht="23.25">
      <c r="A92" s="103" t="s">
        <v>312</v>
      </c>
      <c r="B92" s="103"/>
      <c r="C92" s="75">
        <v>200</v>
      </c>
    </row>
    <row r="93" spans="1:3" ht="23.25">
      <c r="A93" s="103" t="s">
        <v>313</v>
      </c>
      <c r="B93" s="103"/>
      <c r="C93" s="75">
        <v>90</v>
      </c>
    </row>
    <row r="94" spans="1:3" ht="23.25">
      <c r="A94" s="102" t="s">
        <v>314</v>
      </c>
      <c r="B94" s="102"/>
      <c r="C94" s="75"/>
    </row>
    <row r="95" spans="1:3" ht="23.25">
      <c r="A95" s="103" t="s">
        <v>315</v>
      </c>
      <c r="B95" s="103"/>
      <c r="C95" s="75">
        <v>470</v>
      </c>
    </row>
    <row r="96" spans="1:3" ht="23.25">
      <c r="A96" s="103" t="s">
        <v>316</v>
      </c>
      <c r="B96" s="103"/>
      <c r="C96" s="75">
        <v>570</v>
      </c>
    </row>
    <row r="97" spans="1:3" ht="23.25">
      <c r="A97" s="102" t="s">
        <v>317</v>
      </c>
      <c r="B97" s="102"/>
      <c r="C97" s="75"/>
    </row>
    <row r="98" spans="1:3" ht="23.25">
      <c r="A98" s="81" t="s">
        <v>318</v>
      </c>
      <c r="B98" s="81"/>
      <c r="C98" s="75">
        <v>8500</v>
      </c>
    </row>
    <row r="99" spans="1:3" ht="23.25">
      <c r="A99" s="103" t="s">
        <v>319</v>
      </c>
      <c r="B99" s="103"/>
      <c r="C99" s="75">
        <v>5000</v>
      </c>
    </row>
    <row r="100" spans="1:3" ht="23.25">
      <c r="A100" s="102" t="s">
        <v>320</v>
      </c>
      <c r="B100" s="102"/>
      <c r="C100" s="75"/>
    </row>
    <row r="101" spans="1:3" ht="23.25">
      <c r="A101" s="103" t="s">
        <v>321</v>
      </c>
      <c r="B101" s="103"/>
      <c r="C101" s="75">
        <v>750</v>
      </c>
    </row>
    <row r="102" spans="1:3" ht="23.25">
      <c r="A102" s="103" t="s">
        <v>322</v>
      </c>
      <c r="B102" s="103"/>
      <c r="C102" s="75">
        <v>375</v>
      </c>
    </row>
    <row r="103" spans="1:3" ht="23.25">
      <c r="A103" s="103" t="s">
        <v>323</v>
      </c>
      <c r="B103" s="103"/>
      <c r="C103" s="75">
        <v>350</v>
      </c>
    </row>
    <row r="104" spans="1:3" ht="23.25">
      <c r="A104" s="82" t="s">
        <v>324</v>
      </c>
      <c r="B104" s="82"/>
      <c r="C104" s="75">
        <v>375</v>
      </c>
    </row>
    <row r="105" spans="1:3" ht="23.25">
      <c r="A105" s="82" t="s">
        <v>325</v>
      </c>
      <c r="B105" s="82"/>
      <c r="C105" s="75">
        <v>280</v>
      </c>
    </row>
    <row r="106" spans="1:3" ht="23.25">
      <c r="A106" s="82" t="s">
        <v>326</v>
      </c>
      <c r="B106" s="82"/>
      <c r="C106" s="75">
        <v>3100</v>
      </c>
    </row>
    <row r="107" spans="1:3" ht="23.25">
      <c r="A107" s="82" t="s">
        <v>327</v>
      </c>
      <c r="B107" s="82"/>
      <c r="C107" s="75">
        <v>900</v>
      </c>
    </row>
    <row r="108" spans="1:3" ht="23.25">
      <c r="A108" s="102" t="s">
        <v>328</v>
      </c>
      <c r="B108" s="102"/>
      <c r="C108" s="75" t="s">
        <v>104</v>
      </c>
    </row>
    <row r="109" spans="1:3" ht="23.25">
      <c r="A109" s="81" t="s">
        <v>329</v>
      </c>
      <c r="B109" s="81"/>
      <c r="C109" s="75">
        <v>2225</v>
      </c>
    </row>
    <row r="110" spans="1:3" ht="23.25">
      <c r="A110" s="103" t="s">
        <v>330</v>
      </c>
      <c r="B110" s="103"/>
      <c r="C110" s="75">
        <v>2125</v>
      </c>
    </row>
    <row r="111" spans="1:3" ht="23.25">
      <c r="A111" s="82" t="s">
        <v>331</v>
      </c>
      <c r="B111" s="82"/>
      <c r="C111" s="75">
        <v>2750</v>
      </c>
    </row>
    <row r="112" spans="1:3" ht="23.25">
      <c r="A112" s="82" t="s">
        <v>332</v>
      </c>
      <c r="B112" s="82"/>
      <c r="C112" s="75">
        <v>5750</v>
      </c>
    </row>
    <row r="113" spans="1:3" ht="23.25">
      <c r="A113" s="82" t="s">
        <v>333</v>
      </c>
      <c r="B113" s="82"/>
      <c r="C113" s="75">
        <v>8000</v>
      </c>
    </row>
    <row r="114" spans="1:3" ht="23.25">
      <c r="A114" s="82" t="s">
        <v>334</v>
      </c>
      <c r="B114" s="82"/>
      <c r="C114" s="75">
        <v>2550</v>
      </c>
    </row>
    <row r="115" spans="1:3" ht="23.25">
      <c r="A115" s="103" t="s">
        <v>335</v>
      </c>
      <c r="B115" s="103"/>
      <c r="C115" s="75">
        <v>4600</v>
      </c>
    </row>
    <row r="116" spans="1:3" ht="23.25">
      <c r="A116" s="102" t="s">
        <v>336</v>
      </c>
      <c r="B116" s="102"/>
      <c r="C116" s="75"/>
    </row>
    <row r="117" spans="1:3" ht="23.25">
      <c r="A117" s="103" t="s">
        <v>337</v>
      </c>
      <c r="B117" s="103"/>
      <c r="C117" s="75">
        <v>650</v>
      </c>
    </row>
    <row r="118" spans="1:3" ht="23.25">
      <c r="A118" s="103" t="s">
        <v>338</v>
      </c>
      <c r="B118" s="103"/>
      <c r="C118" s="75">
        <v>650</v>
      </c>
    </row>
    <row r="119" spans="1:3" ht="23.25">
      <c r="A119" s="103" t="s">
        <v>339</v>
      </c>
      <c r="B119" s="103"/>
      <c r="C119" s="75">
        <v>650</v>
      </c>
    </row>
    <row r="120" spans="1:3" ht="23.25">
      <c r="A120" s="103" t="s">
        <v>340</v>
      </c>
      <c r="B120" s="103"/>
      <c r="C120" s="75">
        <v>590</v>
      </c>
    </row>
    <row r="121" spans="1:3" ht="23.25">
      <c r="A121" s="103" t="s">
        <v>341</v>
      </c>
      <c r="B121" s="103"/>
      <c r="C121" s="75">
        <v>330</v>
      </c>
    </row>
    <row r="122" spans="1:3" ht="23.25">
      <c r="A122" s="103" t="s">
        <v>342</v>
      </c>
      <c r="B122" s="103"/>
      <c r="C122" s="75">
        <v>330</v>
      </c>
    </row>
    <row r="123" spans="1:3" ht="23.25">
      <c r="A123" s="103" t="s">
        <v>343</v>
      </c>
      <c r="B123" s="103"/>
      <c r="C123" s="75">
        <v>340</v>
      </c>
    </row>
    <row r="124" spans="1:3" ht="23.25">
      <c r="A124" s="103" t="s">
        <v>344</v>
      </c>
      <c r="B124" s="103"/>
      <c r="C124" s="75">
        <v>340</v>
      </c>
    </row>
    <row r="125" spans="1:3" ht="23.25">
      <c r="A125" s="103" t="s">
        <v>345</v>
      </c>
      <c r="B125" s="103"/>
      <c r="C125" s="75">
        <v>330</v>
      </c>
    </row>
    <row r="126" spans="1:3" ht="23.25">
      <c r="A126" s="102" t="s">
        <v>346</v>
      </c>
      <c r="B126" s="102"/>
      <c r="C126" s="75"/>
    </row>
    <row r="127" spans="1:3" ht="23.25">
      <c r="A127" s="103" t="s">
        <v>347</v>
      </c>
      <c r="B127" s="103"/>
      <c r="C127" s="75">
        <v>230</v>
      </c>
    </row>
    <row r="128" spans="1:3" ht="23.25">
      <c r="A128" s="103" t="s">
        <v>348</v>
      </c>
      <c r="B128" s="103"/>
      <c r="C128" s="75">
        <v>150</v>
      </c>
    </row>
    <row r="129" spans="1:3" ht="23.25">
      <c r="A129" s="103" t="s">
        <v>349</v>
      </c>
      <c r="B129" s="103"/>
      <c r="C129" s="75">
        <v>625</v>
      </c>
    </row>
    <row r="130" spans="1:3" ht="23.25">
      <c r="A130" s="102" t="s">
        <v>350</v>
      </c>
      <c r="B130" s="102"/>
      <c r="C130" s="75"/>
    </row>
    <row r="131" spans="1:3" ht="23.25">
      <c r="A131" s="103" t="s">
        <v>351</v>
      </c>
      <c r="B131" s="103"/>
      <c r="C131" s="75">
        <v>650</v>
      </c>
    </row>
    <row r="132" spans="1:3" ht="26.25">
      <c r="A132" s="74" t="s">
        <v>352</v>
      </c>
      <c r="B132" s="74"/>
      <c r="C132" s="74">
        <v>1650</v>
      </c>
    </row>
  </sheetData>
  <mergeCells count="116">
    <mergeCell ref="A131:B131"/>
    <mergeCell ref="A1:C1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08:B108"/>
    <mergeCell ref="A110:B110"/>
    <mergeCell ref="A115:B115"/>
    <mergeCell ref="A116:B116"/>
    <mergeCell ref="A117:B117"/>
    <mergeCell ref="A118:B118"/>
    <mergeCell ref="A97:B97"/>
    <mergeCell ref="A99:B99"/>
    <mergeCell ref="A100:B100"/>
    <mergeCell ref="A101:B101"/>
    <mergeCell ref="A102:B102"/>
    <mergeCell ref="A103:B103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6:B66"/>
    <mergeCell ref="A67:B67"/>
    <mergeCell ref="A68:B68"/>
    <mergeCell ref="A70:B70"/>
    <mergeCell ref="A71:B71"/>
    <mergeCell ref="A72:B72"/>
    <mergeCell ref="A58:B58"/>
    <mergeCell ref="A60:B60"/>
    <mergeCell ref="A61:B61"/>
    <mergeCell ref="A62:B62"/>
    <mergeCell ref="A63:B63"/>
    <mergeCell ref="A65:B65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7:B17"/>
    <mergeCell ref="A19:B19"/>
    <mergeCell ref="A20:B20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  <mergeCell ref="A14:B14"/>
    <mergeCell ref="A15:B15"/>
    <mergeCell ref="A16:B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A2" sqref="A2"/>
    </sheetView>
  </sheetViews>
  <sheetFormatPr defaultRowHeight="15.75"/>
  <cols>
    <col min="1" max="1" width="72.125" bestFit="1" customWidth="1"/>
    <col min="2" max="2" width="8.75" bestFit="1" customWidth="1"/>
  </cols>
  <sheetData>
    <row r="1" spans="1:2" ht="28.5">
      <c r="A1" s="107" t="s">
        <v>855</v>
      </c>
      <c r="B1" s="108"/>
    </row>
    <row r="2" spans="1:2" ht="26.25">
      <c r="A2" s="85" t="s">
        <v>353</v>
      </c>
      <c r="B2" s="86" t="s">
        <v>86</v>
      </c>
    </row>
    <row r="3" spans="1:2" ht="23.25">
      <c r="A3" s="73"/>
      <c r="B3" s="75"/>
    </row>
    <row r="4" spans="1:2" ht="23.25">
      <c r="A4" s="83" t="s">
        <v>354</v>
      </c>
      <c r="B4" s="75"/>
    </row>
    <row r="5" spans="1:2" ht="23.25">
      <c r="A5" s="82" t="s">
        <v>355</v>
      </c>
      <c r="B5" s="75">
        <v>475</v>
      </c>
    </row>
    <row r="6" spans="1:2" ht="23.25">
      <c r="A6" s="82" t="s">
        <v>356</v>
      </c>
      <c r="B6" s="75">
        <v>1160</v>
      </c>
    </row>
    <row r="7" spans="1:2" ht="23.25">
      <c r="A7" s="83" t="s">
        <v>357</v>
      </c>
      <c r="B7" s="75"/>
    </row>
    <row r="8" spans="1:2" ht="23.25">
      <c r="A8" s="82" t="s">
        <v>358</v>
      </c>
      <c r="B8" s="75">
        <v>800</v>
      </c>
    </row>
    <row r="9" spans="1:2" ht="23.25">
      <c r="A9" s="82" t="s">
        <v>359</v>
      </c>
      <c r="B9" s="75">
        <v>850</v>
      </c>
    </row>
    <row r="10" spans="1:2" ht="23.25">
      <c r="A10" s="82" t="s">
        <v>360</v>
      </c>
      <c r="B10" s="75">
        <v>850</v>
      </c>
    </row>
    <row r="11" spans="1:2" ht="23.25">
      <c r="A11" s="82" t="s">
        <v>361</v>
      </c>
      <c r="B11" s="75">
        <v>1150</v>
      </c>
    </row>
    <row r="12" spans="1:2" ht="23.25">
      <c r="A12" s="82" t="s">
        <v>362</v>
      </c>
      <c r="B12" s="75">
        <v>800</v>
      </c>
    </row>
    <row r="13" spans="1:2" ht="23.25">
      <c r="A13" s="83" t="s">
        <v>363</v>
      </c>
      <c r="B13" s="75"/>
    </row>
    <row r="14" spans="1:2" ht="23.25">
      <c r="A14" s="82" t="s">
        <v>364</v>
      </c>
      <c r="B14" s="75">
        <v>175</v>
      </c>
    </row>
    <row r="15" spans="1:2" ht="23.25">
      <c r="A15" s="82" t="s">
        <v>365</v>
      </c>
      <c r="B15" s="75">
        <v>220</v>
      </c>
    </row>
    <row r="16" spans="1:2" ht="23.25">
      <c r="A16" s="82" t="s">
        <v>366</v>
      </c>
      <c r="B16" s="75">
        <v>560</v>
      </c>
    </row>
    <row r="17" spans="1:2" ht="23.25">
      <c r="A17" s="73"/>
      <c r="B17" s="75"/>
    </row>
    <row r="18" spans="1:2" ht="26.25">
      <c r="A18" s="74" t="s">
        <v>367</v>
      </c>
      <c r="B18" s="75"/>
    </row>
    <row r="19" spans="1:2" ht="23.25">
      <c r="A19" s="84" t="s">
        <v>368</v>
      </c>
      <c r="B19" s="75">
        <v>44500</v>
      </c>
    </row>
    <row r="20" spans="1:2" ht="23.25">
      <c r="A20" s="75" t="s">
        <v>369</v>
      </c>
      <c r="B20" s="75"/>
    </row>
    <row r="21" spans="1:2" ht="23.25">
      <c r="A21" s="75" t="s">
        <v>370</v>
      </c>
      <c r="B21" s="75">
        <v>5600</v>
      </c>
    </row>
    <row r="22" spans="1:2" ht="23.25">
      <c r="A22" s="73"/>
      <c r="B22" s="75"/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2" sqref="A2"/>
    </sheetView>
  </sheetViews>
  <sheetFormatPr defaultRowHeight="15.75"/>
  <cols>
    <col min="1" max="1" width="58.125" bestFit="1" customWidth="1"/>
    <col min="2" max="2" width="8.125" bestFit="1" customWidth="1"/>
  </cols>
  <sheetData>
    <row r="1" spans="1:2" ht="28.5">
      <c r="A1" s="87" t="s">
        <v>856</v>
      </c>
      <c r="B1" s="80" t="s">
        <v>86</v>
      </c>
    </row>
    <row r="2" spans="1:2">
      <c r="A2" s="73"/>
      <c r="B2" s="73"/>
    </row>
    <row r="3" spans="1:2" ht="23.25">
      <c r="A3" s="75" t="s">
        <v>371</v>
      </c>
      <c r="B3" s="75">
        <v>610</v>
      </c>
    </row>
    <row r="4" spans="1:2" ht="23.25">
      <c r="A4" s="75" t="s">
        <v>372</v>
      </c>
      <c r="B4" s="75">
        <v>625</v>
      </c>
    </row>
    <row r="5" spans="1:2" ht="26.25">
      <c r="A5" s="74" t="s">
        <v>373</v>
      </c>
      <c r="B5" s="75">
        <v>630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2" sqref="A2"/>
    </sheetView>
  </sheetViews>
  <sheetFormatPr defaultRowHeight="15.75"/>
  <cols>
    <col min="1" max="1" width="55.75" bestFit="1" customWidth="1"/>
    <col min="2" max="2" width="8.75" bestFit="1" customWidth="1"/>
    <col min="3" max="3" width="46.25" bestFit="1" customWidth="1"/>
  </cols>
  <sheetData>
    <row r="1" spans="1:3" ht="27" thickBot="1">
      <c r="A1" s="116" t="s">
        <v>857</v>
      </c>
      <c r="B1" s="116" t="s">
        <v>197</v>
      </c>
      <c r="C1" s="117" t="s">
        <v>845</v>
      </c>
    </row>
    <row r="2" spans="1:3" ht="16.5" thickBot="1">
      <c r="A2" s="113"/>
      <c r="B2" s="113"/>
      <c r="C2" s="113"/>
    </row>
    <row r="3" spans="1:3" ht="21.75" thickBot="1">
      <c r="A3" s="114" t="s">
        <v>374</v>
      </c>
      <c r="B3" s="30">
        <v>165</v>
      </c>
      <c r="C3" s="71" t="s">
        <v>375</v>
      </c>
    </row>
    <row r="4" spans="1:3" ht="21.75" thickBot="1">
      <c r="A4" s="115" t="s">
        <v>376</v>
      </c>
      <c r="B4" s="30">
        <v>410</v>
      </c>
      <c r="C4" s="71" t="s">
        <v>377</v>
      </c>
    </row>
    <row r="5" spans="1:3" ht="21.75" thickBot="1">
      <c r="A5" s="115" t="s">
        <v>378</v>
      </c>
      <c r="B5" s="30">
        <v>410</v>
      </c>
      <c r="C5" s="71" t="s">
        <v>377</v>
      </c>
    </row>
    <row r="6" spans="1:3" ht="21.75" thickBot="1">
      <c r="A6" s="115" t="s">
        <v>379</v>
      </c>
      <c r="B6" s="30">
        <v>410</v>
      </c>
      <c r="C6" s="71" t="s">
        <v>377</v>
      </c>
    </row>
    <row r="7" spans="1:3" ht="21.75" thickBot="1">
      <c r="A7" s="115" t="s">
        <v>380</v>
      </c>
      <c r="B7" s="30">
        <v>550</v>
      </c>
      <c r="C7" s="71" t="s">
        <v>381</v>
      </c>
    </row>
    <row r="8" spans="1:3" ht="21.75" thickBot="1">
      <c r="A8" s="71" t="s">
        <v>382</v>
      </c>
      <c r="B8" s="71">
        <v>850</v>
      </c>
      <c r="C8" s="71" t="s">
        <v>383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2" sqref="A2"/>
    </sheetView>
  </sheetViews>
  <sheetFormatPr defaultRowHeight="15.75"/>
  <cols>
    <col min="1" max="1" width="60.625" bestFit="1" customWidth="1"/>
    <col min="2" max="2" width="7.375" bestFit="1" customWidth="1"/>
    <col min="3" max="3" width="32.5" bestFit="1" customWidth="1"/>
  </cols>
  <sheetData>
    <row r="1" spans="1:3" ht="24" thickBot="1">
      <c r="A1" s="118" t="s">
        <v>858</v>
      </c>
      <c r="B1" s="119" t="s">
        <v>86</v>
      </c>
      <c r="C1" s="120" t="s">
        <v>846</v>
      </c>
    </row>
    <row r="2" spans="1:3" ht="24" thickBot="1">
      <c r="A2" s="112" t="s">
        <v>384</v>
      </c>
      <c r="B2" s="41"/>
      <c r="C2" s="41"/>
    </row>
    <row r="3" spans="1:3" ht="27" thickBot="1">
      <c r="A3" s="19" t="s">
        <v>385</v>
      </c>
      <c r="B3" s="30">
        <v>10400</v>
      </c>
      <c r="C3" s="41"/>
    </row>
    <row r="4" spans="1:3" ht="27" thickBot="1">
      <c r="A4" s="19" t="s">
        <v>386</v>
      </c>
      <c r="B4" s="30">
        <v>15200</v>
      </c>
      <c r="C4" s="41"/>
    </row>
    <row r="5" spans="1:3" ht="19.5" thickBot="1">
      <c r="A5" s="41"/>
      <c r="B5" s="30"/>
      <c r="C5" s="41"/>
    </row>
    <row r="6" spans="1:3" ht="29.25" thickBot="1">
      <c r="A6" s="21" t="s">
        <v>387</v>
      </c>
      <c r="B6" s="30"/>
      <c r="C6" s="41"/>
    </row>
    <row r="7" spans="1:3" ht="27" thickBot="1">
      <c r="A7" s="19" t="s">
        <v>388</v>
      </c>
      <c r="B7" s="30">
        <v>10000</v>
      </c>
      <c r="C7" s="30" t="s">
        <v>389</v>
      </c>
    </row>
    <row r="8" spans="1:3" ht="27" thickBot="1">
      <c r="A8" s="19" t="s">
        <v>390</v>
      </c>
      <c r="B8" s="30">
        <v>10200</v>
      </c>
      <c r="C8" s="30" t="s">
        <v>391</v>
      </c>
    </row>
    <row r="9" spans="1:3" ht="27" thickBot="1">
      <c r="A9" s="19" t="s">
        <v>392</v>
      </c>
      <c r="B9" s="30">
        <v>15300</v>
      </c>
      <c r="C9" s="30"/>
    </row>
    <row r="10" spans="1:3" ht="27" thickBot="1">
      <c r="A10" s="19" t="s">
        <v>393</v>
      </c>
      <c r="B10" s="30">
        <v>9300</v>
      </c>
      <c r="C10" s="30" t="s">
        <v>389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" sqref="A2"/>
    </sheetView>
  </sheetViews>
  <sheetFormatPr defaultRowHeight="15.75"/>
  <cols>
    <col min="1" max="1" width="71" bestFit="1" customWidth="1"/>
    <col min="2" max="2" width="7.75" bestFit="1" customWidth="1"/>
  </cols>
  <sheetData>
    <row r="1" spans="1:2" ht="23.25">
      <c r="A1" s="80" t="s">
        <v>859</v>
      </c>
      <c r="B1" s="88" t="s">
        <v>197</v>
      </c>
    </row>
    <row r="2" spans="1:2">
      <c r="A2" s="73"/>
      <c r="B2" s="73"/>
    </row>
    <row r="3" spans="1:2" ht="23.25">
      <c r="A3" s="75" t="s">
        <v>394</v>
      </c>
      <c r="B3" s="75">
        <v>920</v>
      </c>
    </row>
    <row r="4" spans="1:2" ht="23.25">
      <c r="A4" s="75" t="s">
        <v>395</v>
      </c>
      <c r="B4" s="75">
        <v>416</v>
      </c>
    </row>
    <row r="5" spans="1:2" ht="23.25">
      <c r="A5" s="75" t="s">
        <v>396</v>
      </c>
      <c r="B5" s="75">
        <v>416</v>
      </c>
    </row>
    <row r="6" spans="1:2" ht="23.25">
      <c r="A6" s="75" t="s">
        <v>397</v>
      </c>
      <c r="B6" s="75">
        <v>416</v>
      </c>
    </row>
    <row r="7" spans="1:2" ht="23.25">
      <c r="A7" s="75" t="s">
        <v>398</v>
      </c>
      <c r="B7" s="75">
        <v>320</v>
      </c>
    </row>
    <row r="8" spans="1:2" ht="23.25">
      <c r="A8" s="75" t="s">
        <v>399</v>
      </c>
      <c r="B8" s="75">
        <v>462</v>
      </c>
    </row>
    <row r="9" spans="1:2" ht="23.25">
      <c r="A9" s="75" t="s">
        <v>400</v>
      </c>
      <c r="B9" s="75">
        <v>462</v>
      </c>
    </row>
    <row r="10" spans="1:2" ht="23.25">
      <c r="A10" s="75" t="s">
        <v>401</v>
      </c>
      <c r="B10" s="75">
        <v>462</v>
      </c>
    </row>
    <row r="11" spans="1:2" ht="23.25">
      <c r="A11" s="75" t="s">
        <v>402</v>
      </c>
      <c r="B11" s="75">
        <v>681</v>
      </c>
    </row>
    <row r="12" spans="1:2" ht="23.25">
      <c r="A12" s="75" t="s">
        <v>403</v>
      </c>
      <c r="B12" s="75">
        <v>681</v>
      </c>
    </row>
    <row r="13" spans="1:2" ht="23.25">
      <c r="A13" s="75" t="s">
        <v>404</v>
      </c>
      <c r="B13" s="75">
        <v>681</v>
      </c>
    </row>
    <row r="14" spans="1:2" ht="23.25">
      <c r="A14" s="75" t="s">
        <v>405</v>
      </c>
      <c r="B14" s="75">
        <v>681</v>
      </c>
    </row>
    <row r="15" spans="1:2" ht="23.25">
      <c r="A15" s="75" t="s">
        <v>406</v>
      </c>
      <c r="B15" s="75">
        <v>345</v>
      </c>
    </row>
    <row r="16" spans="1:2" ht="23.25">
      <c r="A16" s="75" t="s">
        <v>407</v>
      </c>
      <c r="B16" s="75">
        <v>510</v>
      </c>
    </row>
    <row r="17" spans="1:2" ht="23.25">
      <c r="A17" s="75" t="s">
        <v>408</v>
      </c>
      <c r="B17" s="75">
        <v>510</v>
      </c>
    </row>
    <row r="18" spans="1:2" ht="23.25">
      <c r="A18" s="75" t="s">
        <v>409</v>
      </c>
      <c r="B18" s="75">
        <v>510</v>
      </c>
    </row>
    <row r="19" spans="1:2" ht="23.25">
      <c r="A19" s="75" t="s">
        <v>410</v>
      </c>
      <c r="B19" s="75">
        <v>665</v>
      </c>
    </row>
    <row r="20" spans="1:2" ht="26.25">
      <c r="A20" s="74" t="s">
        <v>411</v>
      </c>
      <c r="B20" s="75">
        <v>962</v>
      </c>
    </row>
    <row r="21" spans="1:2" ht="23.25">
      <c r="A21" s="75" t="s">
        <v>412</v>
      </c>
      <c r="B21" s="75">
        <v>775</v>
      </c>
    </row>
    <row r="22" spans="1:2" ht="23.25">
      <c r="A22" s="75" t="s">
        <v>413</v>
      </c>
      <c r="B22" s="75">
        <v>775</v>
      </c>
    </row>
    <row r="23" spans="1:2" ht="23.25">
      <c r="A23" s="75" t="s">
        <v>414</v>
      </c>
      <c r="B23" s="75">
        <v>775</v>
      </c>
    </row>
    <row r="24" spans="1:2" ht="23.25">
      <c r="A24" s="75" t="s">
        <v>415</v>
      </c>
      <c r="B24" s="75">
        <v>655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sqref="A1:B26"/>
    </sheetView>
  </sheetViews>
  <sheetFormatPr defaultRowHeight="15.75"/>
  <cols>
    <col min="1" max="1" width="67.625" bestFit="1" customWidth="1"/>
    <col min="2" max="2" width="8.75" bestFit="1" customWidth="1"/>
  </cols>
  <sheetData>
    <row r="1" spans="1:2" ht="27" thickBot="1">
      <c r="A1" s="121" t="s">
        <v>416</v>
      </c>
      <c r="B1" s="118" t="s">
        <v>197</v>
      </c>
    </row>
    <row r="2" spans="1:2" ht="24" thickBot="1">
      <c r="A2" s="71"/>
      <c r="B2" s="112"/>
    </row>
    <row r="3" spans="1:2" ht="27" thickBot="1">
      <c r="A3" s="19" t="s">
        <v>417</v>
      </c>
      <c r="B3" s="112"/>
    </row>
    <row r="4" spans="1:2" ht="24" thickBot="1">
      <c r="A4" s="71" t="s">
        <v>418</v>
      </c>
      <c r="B4" s="112">
        <v>530</v>
      </c>
    </row>
    <row r="5" spans="1:2" ht="24" thickBot="1">
      <c r="A5" s="71" t="s">
        <v>419</v>
      </c>
      <c r="B5" s="112">
        <v>780</v>
      </c>
    </row>
    <row r="6" spans="1:2" ht="24" thickBot="1">
      <c r="A6" s="71" t="s">
        <v>420</v>
      </c>
      <c r="B6" s="112">
        <v>1190</v>
      </c>
    </row>
    <row r="7" spans="1:2" ht="24" thickBot="1">
      <c r="A7" s="71" t="s">
        <v>421</v>
      </c>
      <c r="B7" s="112">
        <v>1220</v>
      </c>
    </row>
    <row r="8" spans="1:2" ht="24" thickBot="1">
      <c r="A8" s="71" t="s">
        <v>422</v>
      </c>
      <c r="B8" s="112">
        <v>1450</v>
      </c>
    </row>
    <row r="9" spans="1:2" ht="24" thickBot="1">
      <c r="A9" s="71" t="s">
        <v>423</v>
      </c>
      <c r="B9" s="112">
        <v>1700</v>
      </c>
    </row>
    <row r="10" spans="1:2" ht="27" thickBot="1">
      <c r="A10" s="19" t="s">
        <v>424</v>
      </c>
      <c r="B10" s="112"/>
    </row>
    <row r="11" spans="1:2" ht="24" thickBot="1">
      <c r="A11" s="71" t="s">
        <v>425</v>
      </c>
      <c r="B11" s="112">
        <v>300</v>
      </c>
    </row>
    <row r="12" spans="1:2" ht="24" thickBot="1">
      <c r="A12" s="71" t="s">
        <v>426</v>
      </c>
      <c r="B12" s="112">
        <v>500</v>
      </c>
    </row>
    <row r="13" spans="1:2" ht="24" thickBot="1">
      <c r="A13" s="71" t="s">
        <v>427</v>
      </c>
      <c r="B13" s="112">
        <v>260</v>
      </c>
    </row>
    <row r="14" spans="1:2" ht="24" thickBot="1">
      <c r="A14" s="71" t="s">
        <v>428</v>
      </c>
      <c r="B14" s="112">
        <v>850</v>
      </c>
    </row>
    <row r="15" spans="1:2" ht="27" thickBot="1">
      <c r="A15" s="19" t="s">
        <v>429</v>
      </c>
      <c r="B15" s="112"/>
    </row>
    <row r="16" spans="1:2" ht="24" thickBot="1">
      <c r="A16" s="71" t="s">
        <v>430</v>
      </c>
      <c r="B16" s="112">
        <v>1890</v>
      </c>
    </row>
    <row r="17" spans="1:2" ht="24" thickBot="1">
      <c r="A17" s="71" t="s">
        <v>431</v>
      </c>
      <c r="B17" s="112">
        <v>2800</v>
      </c>
    </row>
    <row r="18" spans="1:2" ht="27" thickBot="1">
      <c r="A18" s="19" t="s">
        <v>432</v>
      </c>
      <c r="B18" s="112"/>
    </row>
    <row r="19" spans="1:2" ht="24" thickBot="1">
      <c r="A19" s="71"/>
      <c r="B19" s="112"/>
    </row>
    <row r="20" spans="1:2" ht="24" thickBot="1">
      <c r="A20" s="71" t="s">
        <v>433</v>
      </c>
      <c r="B20" s="112">
        <v>4850</v>
      </c>
    </row>
    <row r="21" spans="1:2" ht="16.5" thickBot="1">
      <c r="A21" s="113"/>
      <c r="B21" s="113"/>
    </row>
    <row r="22" spans="1:2" ht="24" thickBot="1">
      <c r="A22" s="112" t="s">
        <v>434</v>
      </c>
      <c r="B22" s="113"/>
    </row>
    <row r="23" spans="1:2" ht="16.5" thickBot="1">
      <c r="A23" s="113"/>
      <c r="B23" s="113"/>
    </row>
    <row r="24" spans="1:2" ht="21.75" thickBot="1">
      <c r="A24" s="71" t="s">
        <v>435</v>
      </c>
      <c r="B24" s="71">
        <v>690</v>
      </c>
    </row>
    <row r="25" spans="1:2" ht="21.75" thickBot="1">
      <c r="A25" s="71" t="s">
        <v>436</v>
      </c>
      <c r="B25" s="71">
        <v>690</v>
      </c>
    </row>
    <row r="26" spans="1:2" ht="21.75" thickBot="1">
      <c r="A26" s="71"/>
      <c r="B26" s="11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A8" sqref="A8"/>
    </sheetView>
  </sheetViews>
  <sheetFormatPr defaultRowHeight="15.75"/>
  <cols>
    <col min="1" max="1" width="73.5" bestFit="1" customWidth="1"/>
    <col min="2" max="2" width="8.625" bestFit="1" customWidth="1"/>
  </cols>
  <sheetData>
    <row r="1" spans="1:2" ht="27" thickBot="1">
      <c r="A1" s="121" t="s">
        <v>437</v>
      </c>
      <c r="B1" s="119" t="s">
        <v>197</v>
      </c>
    </row>
    <row r="2" spans="1:2" ht="24" thickBot="1">
      <c r="A2" s="112"/>
      <c r="B2" s="112"/>
    </row>
    <row r="3" spans="1:2" ht="29.25" thickBot="1">
      <c r="A3" s="21" t="s">
        <v>438</v>
      </c>
      <c r="B3" s="112"/>
    </row>
    <row r="4" spans="1:2" ht="24" thickBot="1">
      <c r="A4" s="112" t="s">
        <v>439</v>
      </c>
      <c r="B4" s="112">
        <v>2500</v>
      </c>
    </row>
    <row r="5" spans="1:2" ht="24" thickBot="1">
      <c r="A5" s="112" t="s">
        <v>440</v>
      </c>
      <c r="B5" s="112">
        <v>1600</v>
      </c>
    </row>
    <row r="6" spans="1:2" ht="24" thickBot="1">
      <c r="A6" s="112" t="s">
        <v>441</v>
      </c>
      <c r="B6" s="112">
        <v>1400</v>
      </c>
    </row>
    <row r="7" spans="1:2" ht="24" thickBot="1">
      <c r="A7" s="112" t="s">
        <v>442</v>
      </c>
      <c r="B7" s="112">
        <v>2975</v>
      </c>
    </row>
    <row r="8" spans="1:2" ht="24" thickBot="1">
      <c r="A8" s="112"/>
      <c r="B8" s="112"/>
    </row>
    <row r="9" spans="1:2" ht="24" thickBot="1">
      <c r="A9" s="112" t="s">
        <v>443</v>
      </c>
      <c r="B9" s="112"/>
    </row>
    <row r="10" spans="1:2" ht="24" thickBot="1">
      <c r="A10" s="112" t="s">
        <v>444</v>
      </c>
      <c r="B10" s="112">
        <v>6250</v>
      </c>
    </row>
    <row r="11" spans="1:2" ht="24" thickBot="1">
      <c r="A11" s="112" t="s">
        <v>445</v>
      </c>
      <c r="B11" s="112">
        <v>5300</v>
      </c>
    </row>
    <row r="12" spans="1:2" ht="24" thickBot="1">
      <c r="A12" s="112" t="s">
        <v>446</v>
      </c>
      <c r="B12" s="112">
        <v>11500</v>
      </c>
    </row>
    <row r="13" spans="1:2" ht="24" thickBot="1">
      <c r="A13" s="112"/>
      <c r="B13" s="112"/>
    </row>
    <row r="14" spans="1:2" ht="24" thickBot="1">
      <c r="A14" s="112" t="s">
        <v>447</v>
      </c>
      <c r="B14" s="112"/>
    </row>
    <row r="15" spans="1:2" ht="24" thickBot="1">
      <c r="A15" s="112" t="s">
        <v>448</v>
      </c>
      <c r="B15" s="112">
        <v>10500</v>
      </c>
    </row>
    <row r="16" spans="1:2" ht="24" thickBot="1">
      <c r="A16" s="112"/>
      <c r="B16" s="112"/>
    </row>
    <row r="17" spans="1:2" ht="24" thickBot="1">
      <c r="A17" s="112" t="s">
        <v>449</v>
      </c>
      <c r="B17" s="112"/>
    </row>
    <row r="18" spans="1:2" ht="24" thickBot="1">
      <c r="A18" s="112" t="s">
        <v>450</v>
      </c>
      <c r="B18" s="112">
        <v>8250</v>
      </c>
    </row>
    <row r="19" spans="1:2" ht="24" thickBot="1">
      <c r="A19" s="112" t="s">
        <v>451</v>
      </c>
      <c r="B19" s="112">
        <v>8850</v>
      </c>
    </row>
    <row r="20" spans="1:2" ht="24" thickBot="1">
      <c r="A20" s="112" t="s">
        <v>452</v>
      </c>
      <c r="B20" s="112">
        <v>5250</v>
      </c>
    </row>
    <row r="21" spans="1:2" ht="24" thickBot="1">
      <c r="A21" s="112" t="s">
        <v>453</v>
      </c>
      <c r="B21" s="112">
        <v>6200</v>
      </c>
    </row>
    <row r="22" spans="1:2" ht="24" thickBot="1">
      <c r="A22" s="112" t="s">
        <v>454</v>
      </c>
      <c r="B22" s="112">
        <v>7300</v>
      </c>
    </row>
    <row r="23" spans="1:2" ht="24" thickBot="1">
      <c r="A23" s="112" t="s">
        <v>455</v>
      </c>
      <c r="B23" s="112"/>
    </row>
    <row r="24" spans="1:2" ht="24" thickBot="1">
      <c r="A24" s="112" t="s">
        <v>456</v>
      </c>
      <c r="B24" s="112">
        <v>180</v>
      </c>
    </row>
    <row r="25" spans="1:2" ht="24" thickBot="1">
      <c r="A25" s="112"/>
      <c r="B25" s="112"/>
    </row>
    <row r="26" spans="1:2" ht="24" thickBot="1">
      <c r="A26" s="112" t="s">
        <v>457</v>
      </c>
      <c r="B26" s="112"/>
    </row>
    <row r="27" spans="1:2" ht="24" thickBot="1">
      <c r="A27" s="112" t="s">
        <v>458</v>
      </c>
      <c r="B27" s="112">
        <v>2225</v>
      </c>
    </row>
    <row r="28" spans="1:2" ht="24" thickBot="1">
      <c r="A28" s="112" t="s">
        <v>459</v>
      </c>
      <c r="B28" s="112">
        <v>2700</v>
      </c>
    </row>
    <row r="29" spans="1:2" ht="24" thickBot="1">
      <c r="A29" s="112" t="s">
        <v>460</v>
      </c>
      <c r="B29" s="112">
        <v>360</v>
      </c>
    </row>
    <row r="30" spans="1:2" ht="24" thickBot="1">
      <c r="A30" s="112" t="s">
        <v>461</v>
      </c>
      <c r="B30" s="112">
        <v>2250</v>
      </c>
    </row>
    <row r="31" spans="1:2" ht="23.25">
      <c r="A31" s="122"/>
      <c r="B31" s="12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5" sqref="D5"/>
    </sheetView>
  </sheetViews>
  <sheetFormatPr defaultRowHeight="15.75"/>
  <cols>
    <col min="1" max="1" width="71.75" bestFit="1" customWidth="1"/>
    <col min="2" max="2" width="10.75" bestFit="1" customWidth="1"/>
  </cols>
  <sheetData>
    <row r="1" spans="1:2" ht="29.25" thickBot="1">
      <c r="A1" s="123" t="s">
        <v>462</v>
      </c>
      <c r="B1" s="123" t="s">
        <v>197</v>
      </c>
    </row>
    <row r="2" spans="1:2" ht="29.25" thickBot="1">
      <c r="A2" s="21" t="s">
        <v>463</v>
      </c>
      <c r="B2" s="21">
        <v>5600</v>
      </c>
    </row>
    <row r="3" spans="1:2" ht="29.25" thickBot="1">
      <c r="A3" s="21" t="s">
        <v>464</v>
      </c>
      <c r="B3" s="21">
        <v>5600</v>
      </c>
    </row>
    <row r="4" spans="1:2" ht="29.25" thickBot="1">
      <c r="A4" s="21" t="s">
        <v>465</v>
      </c>
      <c r="B4" s="21">
        <v>5400</v>
      </c>
    </row>
    <row r="5" spans="1:2" ht="29.25" thickBot="1">
      <c r="A5" s="21" t="s">
        <v>466</v>
      </c>
      <c r="B5" s="21">
        <v>7800</v>
      </c>
    </row>
    <row r="6" spans="1:2" ht="29.25" thickBot="1">
      <c r="A6" s="21" t="s">
        <v>467</v>
      </c>
      <c r="B6" s="21">
        <v>6850</v>
      </c>
    </row>
    <row r="7" spans="1:2" ht="29.25" thickBot="1">
      <c r="A7" s="21" t="s">
        <v>468</v>
      </c>
      <c r="B7" s="21">
        <v>13300</v>
      </c>
    </row>
    <row r="8" spans="1:2" ht="29.25" thickBot="1">
      <c r="A8" s="21" t="s">
        <v>469</v>
      </c>
      <c r="B8" s="21">
        <v>13500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C4" sqref="C4"/>
    </sheetView>
  </sheetViews>
  <sheetFormatPr defaultRowHeight="15.75"/>
  <cols>
    <col min="1" max="1" width="75.375" bestFit="1" customWidth="1"/>
    <col min="2" max="2" width="9" customWidth="1"/>
  </cols>
  <sheetData>
    <row r="1" spans="1:2" ht="27" thickBot="1">
      <c r="A1" s="121" t="s">
        <v>470</v>
      </c>
      <c r="B1" s="118" t="s">
        <v>471</v>
      </c>
    </row>
    <row r="2" spans="1:2" ht="32.25" thickBot="1">
      <c r="A2" s="109" t="s">
        <v>472</v>
      </c>
      <c r="B2" s="113"/>
    </row>
    <row r="3" spans="1:2" ht="24" thickBot="1">
      <c r="A3" s="112" t="s">
        <v>473</v>
      </c>
      <c r="B3" s="112">
        <v>11000</v>
      </c>
    </row>
    <row r="4" spans="1:2" ht="24" thickBot="1">
      <c r="A4" s="112" t="s">
        <v>474</v>
      </c>
      <c r="B4" s="112">
        <v>3800</v>
      </c>
    </row>
    <row r="5" spans="1:2" ht="32.25" thickBot="1">
      <c r="A5" s="109" t="s">
        <v>475</v>
      </c>
      <c r="B5" s="112"/>
    </row>
    <row r="6" spans="1:2" ht="24" thickBot="1">
      <c r="A6" s="112" t="s">
        <v>476</v>
      </c>
      <c r="B6" s="112">
        <v>3.6</v>
      </c>
    </row>
    <row r="7" spans="1:2" ht="24" thickBot="1">
      <c r="A7" s="112"/>
      <c r="B7" s="112"/>
    </row>
    <row r="8" spans="1:2" ht="32.25" thickBot="1">
      <c r="A8" s="109" t="s">
        <v>477</v>
      </c>
      <c r="B8" s="112"/>
    </row>
    <row r="9" spans="1:2" ht="24" thickBot="1">
      <c r="A9" s="112" t="s">
        <v>478</v>
      </c>
      <c r="B9" s="112">
        <v>2090</v>
      </c>
    </row>
    <row r="10" spans="1:2" ht="24" thickBot="1">
      <c r="A10" s="112" t="s">
        <v>479</v>
      </c>
      <c r="B10" s="112">
        <v>5850</v>
      </c>
    </row>
    <row r="11" spans="1:2" ht="24" thickBot="1">
      <c r="A11" s="112" t="s">
        <v>480</v>
      </c>
      <c r="B11" s="112">
        <v>990</v>
      </c>
    </row>
    <row r="12" spans="1:2" ht="24" thickBot="1">
      <c r="A12" s="112"/>
      <c r="B12" s="112"/>
    </row>
    <row r="13" spans="1:2" ht="34.5" thickBot="1">
      <c r="A13" s="124" t="s">
        <v>481</v>
      </c>
      <c r="B13" s="112"/>
    </row>
    <row r="14" spans="1:2" ht="24" thickBot="1">
      <c r="A14" s="112" t="s">
        <v>482</v>
      </c>
      <c r="B14" s="112">
        <v>1850</v>
      </c>
    </row>
    <row r="15" spans="1:2" ht="24" thickBot="1">
      <c r="A15" s="112" t="s">
        <v>483</v>
      </c>
      <c r="B15" s="112">
        <v>2150</v>
      </c>
    </row>
    <row r="16" spans="1:2" ht="24" thickBot="1">
      <c r="A16" s="112" t="s">
        <v>484</v>
      </c>
      <c r="B16" s="112">
        <v>5795</v>
      </c>
    </row>
    <row r="17" spans="1:2" ht="24" thickBot="1">
      <c r="A17" s="112" t="s">
        <v>485</v>
      </c>
      <c r="B17" s="112">
        <v>595</v>
      </c>
    </row>
    <row r="18" spans="1:2" ht="24" thickBot="1">
      <c r="A18" s="112" t="s">
        <v>486</v>
      </c>
      <c r="B18" s="112">
        <v>1250</v>
      </c>
    </row>
    <row r="19" spans="1:2" ht="24" thickBot="1">
      <c r="A19" s="112" t="s">
        <v>487</v>
      </c>
      <c r="B19" s="112">
        <v>730</v>
      </c>
    </row>
    <row r="20" spans="1:2" ht="24" thickBot="1">
      <c r="A20" s="112" t="s">
        <v>488</v>
      </c>
      <c r="B20" s="112">
        <v>4750</v>
      </c>
    </row>
    <row r="21" spans="1:2" ht="24" thickBot="1">
      <c r="A21" s="112" t="s">
        <v>489</v>
      </c>
      <c r="B21" s="112">
        <v>3300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D3" sqref="D3"/>
    </sheetView>
  </sheetViews>
  <sheetFormatPr defaultRowHeight="15.75"/>
  <cols>
    <col min="1" max="1" width="72" bestFit="1" customWidth="1"/>
    <col min="2" max="2" width="9" bestFit="1" customWidth="1"/>
  </cols>
  <sheetData>
    <row r="1" spans="1:2" ht="27" thickBot="1">
      <c r="A1" s="121" t="s">
        <v>490</v>
      </c>
      <c r="B1" s="118" t="s">
        <v>197</v>
      </c>
    </row>
    <row r="2" spans="1:2" ht="21.75" thickBot="1">
      <c r="A2" s="71"/>
      <c r="B2" s="113"/>
    </row>
    <row r="3" spans="1:2" ht="24" thickBot="1">
      <c r="A3" s="112" t="s">
        <v>491</v>
      </c>
      <c r="B3" s="71">
        <v>160</v>
      </c>
    </row>
    <row r="4" spans="1:2" ht="21.75" thickBot="1">
      <c r="A4" s="114" t="s">
        <v>492</v>
      </c>
      <c r="B4" s="71">
        <v>115</v>
      </c>
    </row>
    <row r="5" spans="1:2" ht="21.75" thickBot="1">
      <c r="A5" s="114" t="s">
        <v>493</v>
      </c>
      <c r="B5" s="71">
        <v>160</v>
      </c>
    </row>
    <row r="6" spans="1:2" ht="21.75" thickBot="1">
      <c r="A6" s="114" t="s">
        <v>494</v>
      </c>
      <c r="B6" s="71">
        <v>230</v>
      </c>
    </row>
    <row r="7" spans="1:2" ht="21.75" thickBot="1">
      <c r="A7" s="114" t="s">
        <v>495</v>
      </c>
      <c r="B7" s="71">
        <v>170</v>
      </c>
    </row>
    <row r="8" spans="1:2" ht="21.75" thickBot="1">
      <c r="A8" s="114" t="s">
        <v>496</v>
      </c>
      <c r="B8" s="71">
        <v>235</v>
      </c>
    </row>
    <row r="9" spans="1:2" ht="21.75" thickBot="1">
      <c r="A9" s="114" t="s">
        <v>497</v>
      </c>
      <c r="B9" s="71">
        <v>550</v>
      </c>
    </row>
    <row r="10" spans="1:2" ht="21.75" thickBot="1">
      <c r="A10" s="114" t="s">
        <v>498</v>
      </c>
      <c r="B10" s="71">
        <v>70</v>
      </c>
    </row>
    <row r="11" spans="1:2" ht="21.75" thickBot="1">
      <c r="A11" s="114" t="s">
        <v>499</v>
      </c>
      <c r="B11" s="71">
        <v>315</v>
      </c>
    </row>
    <row r="12" spans="1:2" ht="21.75" thickBot="1">
      <c r="A12" s="114" t="s">
        <v>500</v>
      </c>
      <c r="B12" s="71">
        <v>50</v>
      </c>
    </row>
    <row r="13" spans="1:2" ht="21.75" thickBot="1">
      <c r="A13" s="114" t="s">
        <v>501</v>
      </c>
      <c r="B13" s="71">
        <v>65</v>
      </c>
    </row>
    <row r="14" spans="1:2" ht="21.75" thickBot="1">
      <c r="A14" s="114" t="s">
        <v>502</v>
      </c>
      <c r="B14" s="71">
        <v>75</v>
      </c>
    </row>
    <row r="15" spans="1:2" ht="21.75" thickBot="1">
      <c r="A15" s="114" t="s">
        <v>503</v>
      </c>
      <c r="B15" s="71">
        <v>110</v>
      </c>
    </row>
    <row r="16" spans="1:2" ht="21.75" thickBot="1">
      <c r="A16" s="114" t="s">
        <v>504</v>
      </c>
      <c r="B16" s="71">
        <v>270</v>
      </c>
    </row>
    <row r="17" spans="1:2" ht="21.75" thickBot="1">
      <c r="A17" s="114" t="s">
        <v>505</v>
      </c>
      <c r="B17" s="71">
        <v>525</v>
      </c>
    </row>
    <row r="18" spans="1:2" ht="21.75" thickBot="1">
      <c r="A18" s="114" t="s">
        <v>506</v>
      </c>
      <c r="B18" s="71">
        <v>375</v>
      </c>
    </row>
    <row r="19" spans="1:2" ht="21.75" thickBot="1">
      <c r="A19" s="114" t="s">
        <v>507</v>
      </c>
      <c r="B19" s="71">
        <v>675</v>
      </c>
    </row>
    <row r="20" spans="1:2" ht="21.75" thickBot="1">
      <c r="A20" s="114" t="s">
        <v>508</v>
      </c>
      <c r="B20" s="71">
        <v>420</v>
      </c>
    </row>
    <row r="21" spans="1:2" ht="21.75" thickBot="1">
      <c r="A21" s="114" t="s">
        <v>509</v>
      </c>
      <c r="B21" s="71">
        <v>1025</v>
      </c>
    </row>
    <row r="22" spans="1:2" ht="21.75" thickBot="1">
      <c r="A22" s="114" t="s">
        <v>510</v>
      </c>
      <c r="B22" s="71">
        <v>525</v>
      </c>
    </row>
    <row r="23" spans="1:2" ht="21.75" thickBot="1">
      <c r="A23" s="114"/>
      <c r="B23" s="71"/>
    </row>
    <row r="24" spans="1:2" ht="27" thickBot="1">
      <c r="A24" s="125" t="s">
        <v>511</v>
      </c>
      <c r="B24" s="113"/>
    </row>
    <row r="25" spans="1:2" ht="27" thickBot="1">
      <c r="A25" s="19" t="s">
        <v>512</v>
      </c>
      <c r="B25" s="71">
        <v>3000</v>
      </c>
    </row>
    <row r="26" spans="1:2" ht="27" thickBot="1">
      <c r="A26" s="19" t="s">
        <v>513</v>
      </c>
      <c r="B26" s="71">
        <v>1600</v>
      </c>
    </row>
    <row r="27" spans="1:2" ht="27" thickBot="1">
      <c r="A27" s="19" t="s">
        <v>514</v>
      </c>
      <c r="B27" s="71">
        <v>250</v>
      </c>
    </row>
    <row r="28" spans="1:2" ht="24" thickBot="1">
      <c r="A28" s="112" t="s">
        <v>515</v>
      </c>
      <c r="B28" s="71">
        <v>2800</v>
      </c>
    </row>
    <row r="29" spans="1:2" ht="27" thickBot="1">
      <c r="A29" s="40" t="s">
        <v>516</v>
      </c>
      <c r="B29" s="126">
        <v>950</v>
      </c>
    </row>
    <row r="30" spans="1:2" ht="16.5" thickBot="1">
      <c r="A30" s="113"/>
      <c r="B30" s="113"/>
    </row>
    <row r="31" spans="1:2" ht="16.5" thickBot="1">
      <c r="A31" s="113"/>
      <c r="B31" s="113"/>
    </row>
    <row r="32" spans="1:2" ht="27" thickBot="1">
      <c r="A32" s="19" t="s">
        <v>517</v>
      </c>
      <c r="B32" s="113"/>
    </row>
    <row r="33" spans="1:2" ht="24" thickBot="1">
      <c r="A33" s="112" t="s">
        <v>518</v>
      </c>
      <c r="B33" s="30">
        <v>170</v>
      </c>
    </row>
    <row r="34" spans="1:2" ht="24" thickBot="1">
      <c r="A34" s="112" t="s">
        <v>519</v>
      </c>
      <c r="B34" s="30">
        <v>225</v>
      </c>
    </row>
    <row r="35" spans="1:2" ht="24" thickBot="1">
      <c r="A35" s="112" t="s">
        <v>520</v>
      </c>
      <c r="B35" s="30">
        <v>320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workbookViewId="0">
      <selection activeCell="B3" sqref="B3"/>
    </sheetView>
  </sheetViews>
  <sheetFormatPr defaultRowHeight="15.75"/>
  <cols>
    <col min="1" max="1" width="60.125" bestFit="1" customWidth="1"/>
    <col min="2" max="2" width="30.625" bestFit="1" customWidth="1"/>
    <col min="3" max="3" width="15.5" bestFit="1" customWidth="1"/>
    <col min="4" max="4" width="14.625" bestFit="1" customWidth="1"/>
    <col min="5" max="5" width="7.125" bestFit="1" customWidth="1"/>
    <col min="6" max="6" width="31.5" bestFit="1" customWidth="1"/>
    <col min="7" max="7" width="8" bestFit="1" customWidth="1"/>
  </cols>
  <sheetData>
    <row r="1" spans="1:7" ht="29.25" thickBot="1">
      <c r="A1" s="127" t="s">
        <v>670</v>
      </c>
      <c r="B1" s="127"/>
      <c r="C1" s="127"/>
      <c r="D1" s="127"/>
      <c r="E1" s="127"/>
      <c r="F1" s="127"/>
      <c r="G1" s="127"/>
    </row>
    <row r="2" spans="1:7" ht="21.75" thickBot="1">
      <c r="A2" s="128" t="s">
        <v>521</v>
      </c>
      <c r="B2" s="128" t="s">
        <v>522</v>
      </c>
      <c r="C2" s="129" t="s">
        <v>523</v>
      </c>
      <c r="D2" s="129" t="s">
        <v>524</v>
      </c>
      <c r="E2" s="129">
        <v>1</v>
      </c>
      <c r="F2" s="129">
        <v>924</v>
      </c>
      <c r="G2" s="130">
        <f t="shared" ref="G2:G39" si="0">F2*118%</f>
        <v>1090.32</v>
      </c>
    </row>
    <row r="3" spans="1:7" ht="21.75" thickBot="1">
      <c r="A3" s="128" t="s">
        <v>525</v>
      </c>
      <c r="B3" s="128" t="s">
        <v>522</v>
      </c>
      <c r="C3" s="129" t="s">
        <v>526</v>
      </c>
      <c r="D3" s="129" t="s">
        <v>524</v>
      </c>
      <c r="E3" s="129">
        <v>1</v>
      </c>
      <c r="F3" s="129">
        <v>945</v>
      </c>
      <c r="G3" s="130">
        <f t="shared" si="0"/>
        <v>1115.0999999999999</v>
      </c>
    </row>
    <row r="4" spans="1:7" ht="21.75" thickBot="1">
      <c r="A4" s="128" t="s">
        <v>527</v>
      </c>
      <c r="B4" s="128" t="s">
        <v>522</v>
      </c>
      <c r="C4" s="129" t="s">
        <v>528</v>
      </c>
      <c r="D4" s="129" t="s">
        <v>524</v>
      </c>
      <c r="E4" s="129">
        <v>1</v>
      </c>
      <c r="F4" s="129">
        <v>1846</v>
      </c>
      <c r="G4" s="130">
        <f t="shared" si="0"/>
        <v>2178.2799999999997</v>
      </c>
    </row>
    <row r="5" spans="1:7" ht="21.75" thickBot="1">
      <c r="A5" s="128" t="s">
        <v>529</v>
      </c>
      <c r="B5" s="128" t="s">
        <v>522</v>
      </c>
      <c r="C5" s="129" t="s">
        <v>530</v>
      </c>
      <c r="D5" s="129" t="s">
        <v>524</v>
      </c>
      <c r="E5" s="129">
        <v>2</v>
      </c>
      <c r="F5" s="129">
        <v>2303</v>
      </c>
      <c r="G5" s="130">
        <f t="shared" si="0"/>
        <v>2717.54</v>
      </c>
    </row>
    <row r="6" spans="1:7" ht="21.75" thickBot="1">
      <c r="A6" s="128" t="s">
        <v>531</v>
      </c>
      <c r="B6" s="128" t="s">
        <v>522</v>
      </c>
      <c r="C6" s="129" t="s">
        <v>532</v>
      </c>
      <c r="D6" s="129" t="s">
        <v>524</v>
      </c>
      <c r="E6" s="129">
        <v>2</v>
      </c>
      <c r="F6" s="129">
        <v>1152</v>
      </c>
      <c r="G6" s="130">
        <f t="shared" si="0"/>
        <v>1359.36</v>
      </c>
    </row>
    <row r="7" spans="1:7" ht="21.75" thickBot="1">
      <c r="A7" s="128" t="s">
        <v>533</v>
      </c>
      <c r="B7" s="128" t="s">
        <v>522</v>
      </c>
      <c r="C7" s="129" t="s">
        <v>534</v>
      </c>
      <c r="D7" s="129" t="s">
        <v>524</v>
      </c>
      <c r="E7" s="129">
        <v>3</v>
      </c>
      <c r="F7" s="129">
        <v>4132</v>
      </c>
      <c r="G7" s="130">
        <f t="shared" si="0"/>
        <v>4875.7599999999993</v>
      </c>
    </row>
    <row r="8" spans="1:7" ht="21.75" thickBot="1">
      <c r="A8" s="128" t="s">
        <v>535</v>
      </c>
      <c r="B8" s="128" t="s">
        <v>522</v>
      </c>
      <c r="C8" s="129" t="s">
        <v>536</v>
      </c>
      <c r="D8" s="129" t="s">
        <v>524</v>
      </c>
      <c r="E8" s="129">
        <v>3</v>
      </c>
      <c r="F8" s="129">
        <v>2069</v>
      </c>
      <c r="G8" s="130">
        <f t="shared" si="0"/>
        <v>2441.42</v>
      </c>
    </row>
    <row r="9" spans="1:7" ht="21.75" thickBot="1">
      <c r="A9" s="128" t="s">
        <v>537</v>
      </c>
      <c r="B9" s="128" t="s">
        <v>522</v>
      </c>
      <c r="C9" s="129" t="s">
        <v>538</v>
      </c>
      <c r="D9" s="129" t="s">
        <v>524</v>
      </c>
      <c r="E9" s="129">
        <v>5</v>
      </c>
      <c r="F9" s="129">
        <v>5962</v>
      </c>
      <c r="G9" s="130">
        <f t="shared" si="0"/>
        <v>7035.16</v>
      </c>
    </row>
    <row r="10" spans="1:7" ht="21.75" thickBot="1">
      <c r="A10" s="128" t="s">
        <v>539</v>
      </c>
      <c r="B10" s="128" t="s">
        <v>522</v>
      </c>
      <c r="C10" s="129" t="s">
        <v>540</v>
      </c>
      <c r="D10" s="129" t="s">
        <v>524</v>
      </c>
      <c r="E10" s="129">
        <v>5</v>
      </c>
      <c r="F10" s="129">
        <v>2982</v>
      </c>
      <c r="G10" s="130">
        <f t="shared" si="0"/>
        <v>3518.7599999999998</v>
      </c>
    </row>
    <row r="11" spans="1:7" ht="21.75" thickBot="1">
      <c r="A11" s="128" t="s">
        <v>541</v>
      </c>
      <c r="B11" s="128" t="s">
        <v>522</v>
      </c>
      <c r="C11" s="129" t="s">
        <v>542</v>
      </c>
      <c r="D11" s="129" t="s">
        <v>524</v>
      </c>
      <c r="E11" s="129">
        <v>10</v>
      </c>
      <c r="F11" s="129">
        <v>8898</v>
      </c>
      <c r="G11" s="130">
        <f t="shared" si="0"/>
        <v>10499.64</v>
      </c>
    </row>
    <row r="12" spans="1:7" ht="21.75" thickBot="1">
      <c r="A12" s="128" t="s">
        <v>543</v>
      </c>
      <c r="B12" s="128" t="s">
        <v>522</v>
      </c>
      <c r="C12" s="129" t="s">
        <v>544</v>
      </c>
      <c r="D12" s="129" t="s">
        <v>524</v>
      </c>
      <c r="E12" s="129">
        <v>10</v>
      </c>
      <c r="F12" s="129">
        <v>4451</v>
      </c>
      <c r="G12" s="130">
        <f t="shared" si="0"/>
        <v>5252.1799999999994</v>
      </c>
    </row>
    <row r="13" spans="1:7" ht="21.75" thickBot="1">
      <c r="A13" s="128" t="s">
        <v>545</v>
      </c>
      <c r="B13" s="128" t="s">
        <v>522</v>
      </c>
      <c r="C13" s="129" t="s">
        <v>546</v>
      </c>
      <c r="D13" s="129" t="s">
        <v>547</v>
      </c>
      <c r="E13" s="129">
        <v>1</v>
      </c>
      <c r="F13" s="129">
        <v>1377</v>
      </c>
      <c r="G13" s="130">
        <f t="shared" si="0"/>
        <v>1624.86</v>
      </c>
    </row>
    <row r="14" spans="1:7" ht="21.75" thickBot="1">
      <c r="A14" s="128" t="s">
        <v>548</v>
      </c>
      <c r="B14" s="128" t="s">
        <v>522</v>
      </c>
      <c r="C14" s="129" t="s">
        <v>549</v>
      </c>
      <c r="D14" s="129" t="s">
        <v>547</v>
      </c>
      <c r="E14" s="129">
        <v>1</v>
      </c>
      <c r="F14" s="129">
        <v>688</v>
      </c>
      <c r="G14" s="130">
        <f t="shared" si="0"/>
        <v>811.83999999999992</v>
      </c>
    </row>
    <row r="15" spans="1:7" ht="21.75" thickBot="1">
      <c r="A15" s="128" t="s">
        <v>550</v>
      </c>
      <c r="B15" s="128" t="s">
        <v>522</v>
      </c>
      <c r="C15" s="129" t="s">
        <v>551</v>
      </c>
      <c r="D15" s="129" t="s">
        <v>547</v>
      </c>
      <c r="E15" s="129">
        <v>2</v>
      </c>
      <c r="F15" s="129">
        <v>1834</v>
      </c>
      <c r="G15" s="130">
        <f t="shared" si="0"/>
        <v>2164.12</v>
      </c>
    </row>
    <row r="16" spans="1:7" ht="21.75" thickBot="1">
      <c r="A16" s="128" t="s">
        <v>552</v>
      </c>
      <c r="B16" s="128" t="s">
        <v>522</v>
      </c>
      <c r="C16" s="129" t="s">
        <v>553</v>
      </c>
      <c r="D16" s="129" t="s">
        <v>547</v>
      </c>
      <c r="E16" s="129">
        <v>2</v>
      </c>
      <c r="F16" s="129">
        <v>917</v>
      </c>
      <c r="G16" s="130">
        <f t="shared" si="0"/>
        <v>1082.06</v>
      </c>
    </row>
    <row r="17" spans="1:7" ht="21.75" thickBot="1">
      <c r="A17" s="128" t="s">
        <v>554</v>
      </c>
      <c r="B17" s="128" t="s">
        <v>522</v>
      </c>
      <c r="C17" s="129" t="s">
        <v>555</v>
      </c>
      <c r="D17" s="129" t="s">
        <v>547</v>
      </c>
      <c r="E17" s="129">
        <v>5</v>
      </c>
      <c r="F17" s="129">
        <v>5131</v>
      </c>
      <c r="G17" s="130">
        <f t="shared" si="0"/>
        <v>6054.58</v>
      </c>
    </row>
    <row r="18" spans="1:7" ht="21.75" thickBot="1">
      <c r="A18" s="128" t="s">
        <v>556</v>
      </c>
      <c r="B18" s="128" t="s">
        <v>522</v>
      </c>
      <c r="C18" s="129" t="s">
        <v>557</v>
      </c>
      <c r="D18" s="129" t="s">
        <v>547</v>
      </c>
      <c r="E18" s="129">
        <v>5</v>
      </c>
      <c r="F18" s="129">
        <v>2567</v>
      </c>
      <c r="G18" s="130">
        <f t="shared" si="0"/>
        <v>3029.06</v>
      </c>
    </row>
    <row r="19" spans="1:7" ht="21.75" thickBot="1">
      <c r="A19" s="128" t="s">
        <v>558</v>
      </c>
      <c r="B19" s="128" t="s">
        <v>522</v>
      </c>
      <c r="C19" s="129" t="s">
        <v>559</v>
      </c>
      <c r="D19" s="129" t="s">
        <v>547</v>
      </c>
      <c r="E19" s="129">
        <v>10</v>
      </c>
      <c r="F19" s="129">
        <v>8111</v>
      </c>
      <c r="G19" s="130">
        <f t="shared" si="0"/>
        <v>9570.98</v>
      </c>
    </row>
    <row r="20" spans="1:7" ht="21.75" thickBot="1">
      <c r="A20" s="128" t="s">
        <v>560</v>
      </c>
      <c r="B20" s="128" t="s">
        <v>522</v>
      </c>
      <c r="C20" s="129" t="s">
        <v>561</v>
      </c>
      <c r="D20" s="129" t="s">
        <v>547</v>
      </c>
      <c r="E20" s="129">
        <v>10</v>
      </c>
      <c r="F20" s="129">
        <v>4056</v>
      </c>
      <c r="G20" s="130">
        <f t="shared" si="0"/>
        <v>4786.08</v>
      </c>
    </row>
    <row r="21" spans="1:7" ht="21.75" thickBot="1">
      <c r="A21" s="128" t="s">
        <v>562</v>
      </c>
      <c r="B21" s="128" t="s">
        <v>563</v>
      </c>
      <c r="C21" s="129" t="s">
        <v>564</v>
      </c>
      <c r="D21" s="129" t="s">
        <v>524</v>
      </c>
      <c r="E21" s="129">
        <v>1</v>
      </c>
      <c r="F21" s="129">
        <v>1397</v>
      </c>
      <c r="G21" s="130">
        <f t="shared" si="0"/>
        <v>1648.4599999999998</v>
      </c>
    </row>
    <row r="22" spans="1:7" ht="21.75" thickBot="1">
      <c r="A22" s="128" t="s">
        <v>565</v>
      </c>
      <c r="B22" s="128" t="s">
        <v>563</v>
      </c>
      <c r="C22" s="129" t="s">
        <v>566</v>
      </c>
      <c r="D22" s="129" t="s">
        <v>524</v>
      </c>
      <c r="E22" s="129">
        <v>1</v>
      </c>
      <c r="F22" s="129">
        <v>700</v>
      </c>
      <c r="G22" s="130">
        <f t="shared" si="0"/>
        <v>826</v>
      </c>
    </row>
    <row r="23" spans="1:7" ht="21.75" thickBot="1">
      <c r="A23" s="128" t="s">
        <v>567</v>
      </c>
      <c r="B23" s="128" t="s">
        <v>563</v>
      </c>
      <c r="C23" s="129" t="s">
        <v>568</v>
      </c>
      <c r="D23" s="129" t="s">
        <v>524</v>
      </c>
      <c r="E23" s="129">
        <v>2</v>
      </c>
      <c r="F23" s="129">
        <v>1771</v>
      </c>
      <c r="G23" s="130">
        <f t="shared" si="0"/>
        <v>2089.7799999999997</v>
      </c>
    </row>
    <row r="24" spans="1:7" ht="21.75" thickBot="1">
      <c r="A24" s="128" t="s">
        <v>569</v>
      </c>
      <c r="B24" s="128" t="s">
        <v>563</v>
      </c>
      <c r="C24" s="129" t="s">
        <v>570</v>
      </c>
      <c r="D24" s="129" t="s">
        <v>524</v>
      </c>
      <c r="E24" s="129">
        <v>2</v>
      </c>
      <c r="F24" s="129">
        <v>887</v>
      </c>
      <c r="G24" s="130">
        <f t="shared" si="0"/>
        <v>1046.6599999999999</v>
      </c>
    </row>
    <row r="25" spans="1:7" ht="21.75" thickBot="1">
      <c r="A25" s="128" t="s">
        <v>571</v>
      </c>
      <c r="B25" s="128" t="s">
        <v>563</v>
      </c>
      <c r="C25" s="129" t="s">
        <v>572</v>
      </c>
      <c r="D25" s="129" t="s">
        <v>524</v>
      </c>
      <c r="E25" s="129">
        <v>3</v>
      </c>
      <c r="F25" s="129">
        <v>3008</v>
      </c>
      <c r="G25" s="130">
        <f t="shared" si="0"/>
        <v>3549.4399999999996</v>
      </c>
    </row>
    <row r="26" spans="1:7" ht="21.75" thickBot="1">
      <c r="A26" s="128" t="s">
        <v>573</v>
      </c>
      <c r="B26" s="128" t="s">
        <v>563</v>
      </c>
      <c r="C26" s="129" t="s">
        <v>574</v>
      </c>
      <c r="D26" s="129" t="s">
        <v>524</v>
      </c>
      <c r="E26" s="129">
        <v>3</v>
      </c>
      <c r="F26" s="129">
        <v>1505</v>
      </c>
      <c r="G26" s="130">
        <f t="shared" si="0"/>
        <v>1775.8999999999999</v>
      </c>
    </row>
    <row r="27" spans="1:7" ht="21.75" thickBot="1">
      <c r="A27" s="128" t="s">
        <v>575</v>
      </c>
      <c r="B27" s="128" t="s">
        <v>563</v>
      </c>
      <c r="C27" s="129" t="s">
        <v>576</v>
      </c>
      <c r="D27" s="129" t="s">
        <v>524</v>
      </c>
      <c r="E27" s="129">
        <v>5</v>
      </c>
      <c r="F27" s="129">
        <v>4381</v>
      </c>
      <c r="G27" s="130">
        <f t="shared" si="0"/>
        <v>5169.58</v>
      </c>
    </row>
    <row r="28" spans="1:7" ht="21.75" thickBot="1">
      <c r="A28" s="128" t="s">
        <v>577</v>
      </c>
      <c r="B28" s="128" t="s">
        <v>563</v>
      </c>
      <c r="C28" s="129" t="s">
        <v>578</v>
      </c>
      <c r="D28" s="129" t="s">
        <v>524</v>
      </c>
      <c r="E28" s="129">
        <v>5</v>
      </c>
      <c r="F28" s="129">
        <v>2191</v>
      </c>
      <c r="G28" s="130">
        <f t="shared" si="0"/>
        <v>2585.3799999999997</v>
      </c>
    </row>
    <row r="29" spans="1:7" ht="21.75" thickBot="1">
      <c r="A29" s="128" t="s">
        <v>579</v>
      </c>
      <c r="B29" s="128" t="s">
        <v>563</v>
      </c>
      <c r="C29" s="129" t="s">
        <v>580</v>
      </c>
      <c r="D29" s="129" t="s">
        <v>524</v>
      </c>
      <c r="E29" s="129">
        <v>10</v>
      </c>
      <c r="F29" s="129">
        <v>6541</v>
      </c>
      <c r="G29" s="130">
        <f t="shared" si="0"/>
        <v>7718.3799999999992</v>
      </c>
    </row>
    <row r="30" spans="1:7" ht="21.75" thickBot="1">
      <c r="A30" s="128" t="s">
        <v>581</v>
      </c>
      <c r="B30" s="128" t="s">
        <v>563</v>
      </c>
      <c r="C30" s="129" t="s">
        <v>582</v>
      </c>
      <c r="D30" s="129" t="s">
        <v>524</v>
      </c>
      <c r="E30" s="129">
        <v>10</v>
      </c>
      <c r="F30" s="129">
        <v>3271</v>
      </c>
      <c r="G30" s="130">
        <f t="shared" si="0"/>
        <v>3859.7799999999997</v>
      </c>
    </row>
    <row r="31" spans="1:7" ht="21.75" thickBot="1">
      <c r="A31" s="128" t="s">
        <v>583</v>
      </c>
      <c r="B31" s="128" t="s">
        <v>563</v>
      </c>
      <c r="C31" s="129" t="s">
        <v>584</v>
      </c>
      <c r="D31" s="129" t="s">
        <v>547</v>
      </c>
      <c r="E31" s="129">
        <v>1</v>
      </c>
      <c r="F31" s="129">
        <v>1011</v>
      </c>
      <c r="G31" s="130">
        <f t="shared" si="0"/>
        <v>1192.98</v>
      </c>
    </row>
    <row r="32" spans="1:7" ht="21.75" thickBot="1">
      <c r="A32" s="128" t="s">
        <v>585</v>
      </c>
      <c r="B32" s="128" t="s">
        <v>563</v>
      </c>
      <c r="C32" s="129" t="s">
        <v>586</v>
      </c>
      <c r="D32" s="129" t="s">
        <v>547</v>
      </c>
      <c r="E32" s="129">
        <v>1</v>
      </c>
      <c r="F32" s="129">
        <v>506</v>
      </c>
      <c r="G32" s="130">
        <f t="shared" si="0"/>
        <v>597.07999999999993</v>
      </c>
    </row>
    <row r="33" spans="1:7" ht="21.75" thickBot="1">
      <c r="A33" s="128" t="s">
        <v>587</v>
      </c>
      <c r="B33" s="128" t="s">
        <v>563</v>
      </c>
      <c r="C33" s="129" t="s">
        <v>588</v>
      </c>
      <c r="D33" s="129" t="s">
        <v>547</v>
      </c>
      <c r="E33" s="129">
        <v>2</v>
      </c>
      <c r="F33" s="129">
        <v>1300</v>
      </c>
      <c r="G33" s="130">
        <f t="shared" si="0"/>
        <v>1534</v>
      </c>
    </row>
    <row r="34" spans="1:7" ht="21.75" thickBot="1">
      <c r="A34" s="128" t="s">
        <v>589</v>
      </c>
      <c r="B34" s="128" t="s">
        <v>563</v>
      </c>
      <c r="C34" s="129" t="s">
        <v>590</v>
      </c>
      <c r="D34" s="129" t="s">
        <v>547</v>
      </c>
      <c r="E34" s="129">
        <v>2</v>
      </c>
      <c r="F34" s="129">
        <v>706</v>
      </c>
      <c r="G34" s="130">
        <f t="shared" si="0"/>
        <v>833.07999999999993</v>
      </c>
    </row>
    <row r="35" spans="1:7" ht="21.75" thickBot="1">
      <c r="A35" s="128" t="s">
        <v>591</v>
      </c>
      <c r="B35" s="128" t="s">
        <v>563</v>
      </c>
      <c r="C35" s="129" t="s">
        <v>592</v>
      </c>
      <c r="D35" s="129" t="s">
        <v>547</v>
      </c>
      <c r="E35" s="129">
        <v>5</v>
      </c>
      <c r="F35" s="129">
        <v>3959</v>
      </c>
      <c r="G35" s="130">
        <f t="shared" si="0"/>
        <v>4671.62</v>
      </c>
    </row>
    <row r="36" spans="1:7" ht="21.75" thickBot="1">
      <c r="A36" s="128" t="s">
        <v>593</v>
      </c>
      <c r="B36" s="128" t="s">
        <v>563</v>
      </c>
      <c r="C36" s="129" t="s">
        <v>594</v>
      </c>
      <c r="D36" s="129" t="s">
        <v>547</v>
      </c>
      <c r="E36" s="129">
        <v>5</v>
      </c>
      <c r="F36" s="129">
        <v>1980</v>
      </c>
      <c r="G36" s="130">
        <f t="shared" si="0"/>
        <v>2336.4</v>
      </c>
    </row>
    <row r="37" spans="1:7" ht="21.75" thickBot="1">
      <c r="A37" s="128" t="s">
        <v>595</v>
      </c>
      <c r="B37" s="128" t="s">
        <v>563</v>
      </c>
      <c r="C37" s="129" t="s">
        <v>596</v>
      </c>
      <c r="D37" s="129" t="s">
        <v>547</v>
      </c>
      <c r="E37" s="129">
        <v>10</v>
      </c>
      <c r="F37" s="129">
        <v>6259</v>
      </c>
      <c r="G37" s="130">
        <f t="shared" si="0"/>
        <v>7385.62</v>
      </c>
    </row>
    <row r="38" spans="1:7" ht="21.75" thickBot="1">
      <c r="A38" s="128" t="s">
        <v>597</v>
      </c>
      <c r="B38" s="128" t="s">
        <v>563</v>
      </c>
      <c r="C38" s="129" t="s">
        <v>598</v>
      </c>
      <c r="D38" s="129" t="s">
        <v>547</v>
      </c>
      <c r="E38" s="129">
        <v>10</v>
      </c>
      <c r="F38" s="129">
        <v>3130</v>
      </c>
      <c r="G38" s="130">
        <f t="shared" si="0"/>
        <v>3693.3999999999996</v>
      </c>
    </row>
    <row r="39" spans="1:7" ht="21.75" thickBot="1">
      <c r="A39" s="128" t="s">
        <v>599</v>
      </c>
      <c r="B39" s="128" t="s">
        <v>600</v>
      </c>
      <c r="C39" s="129" t="s">
        <v>601</v>
      </c>
      <c r="D39" s="129" t="s">
        <v>524</v>
      </c>
      <c r="E39" s="129">
        <v>1</v>
      </c>
      <c r="F39" s="129">
        <v>245</v>
      </c>
      <c r="G39" s="130">
        <f t="shared" si="0"/>
        <v>289.09999999999997</v>
      </c>
    </row>
    <row r="40" spans="1:7" ht="21.75" thickBot="1">
      <c r="A40" s="131" t="s">
        <v>602</v>
      </c>
      <c r="B40" s="131" t="s">
        <v>603</v>
      </c>
      <c r="C40" s="132" t="s">
        <v>604</v>
      </c>
      <c r="D40" s="132" t="s">
        <v>605</v>
      </c>
      <c r="E40" s="132" t="s">
        <v>606</v>
      </c>
      <c r="F40" s="132" t="s">
        <v>607</v>
      </c>
      <c r="G40" s="130"/>
    </row>
    <row r="41" spans="1:7" ht="21.75" thickBot="1">
      <c r="A41" s="128" t="s">
        <v>608</v>
      </c>
      <c r="B41" s="128" t="s">
        <v>609</v>
      </c>
      <c r="C41" s="129" t="s">
        <v>610</v>
      </c>
      <c r="D41" s="129" t="s">
        <v>524</v>
      </c>
      <c r="E41" s="129">
        <v>1</v>
      </c>
      <c r="F41" s="129">
        <v>792</v>
      </c>
      <c r="G41" s="130">
        <f t="shared" ref="G41:G68" si="1">F41*118%</f>
        <v>934.56</v>
      </c>
    </row>
    <row r="42" spans="1:7" ht="21.75" thickBot="1">
      <c r="A42" s="128" t="s">
        <v>611</v>
      </c>
      <c r="B42" s="128" t="s">
        <v>609</v>
      </c>
      <c r="C42" s="129" t="s">
        <v>612</v>
      </c>
      <c r="D42" s="129" t="s">
        <v>524</v>
      </c>
      <c r="E42" s="129">
        <v>1</v>
      </c>
      <c r="F42" s="129">
        <v>397</v>
      </c>
      <c r="G42" s="130">
        <f t="shared" si="1"/>
        <v>468.46</v>
      </c>
    </row>
    <row r="43" spans="1:7" ht="21.75" thickBot="1">
      <c r="A43" s="128" t="s">
        <v>613</v>
      </c>
      <c r="B43" s="128" t="s">
        <v>609</v>
      </c>
      <c r="C43" s="129" t="s">
        <v>614</v>
      </c>
      <c r="D43" s="129" t="s">
        <v>524</v>
      </c>
      <c r="E43" s="129">
        <v>2</v>
      </c>
      <c r="F43" s="129">
        <v>1034</v>
      </c>
      <c r="G43" s="130">
        <f t="shared" si="1"/>
        <v>1220.1199999999999</v>
      </c>
    </row>
    <row r="44" spans="1:7" ht="21.75" thickBot="1">
      <c r="A44" s="128" t="s">
        <v>615</v>
      </c>
      <c r="B44" s="128" t="s">
        <v>609</v>
      </c>
      <c r="C44" s="129" t="s">
        <v>616</v>
      </c>
      <c r="D44" s="129" t="s">
        <v>524</v>
      </c>
      <c r="E44" s="129">
        <v>2</v>
      </c>
      <c r="F44" s="129">
        <v>519</v>
      </c>
      <c r="G44" s="130">
        <f t="shared" si="1"/>
        <v>612.41999999999996</v>
      </c>
    </row>
    <row r="45" spans="1:7" ht="21.75" thickBot="1">
      <c r="A45" s="128" t="s">
        <v>617</v>
      </c>
      <c r="B45" s="128" t="s">
        <v>609</v>
      </c>
      <c r="C45" s="129" t="s">
        <v>618</v>
      </c>
      <c r="D45" s="129" t="s">
        <v>524</v>
      </c>
      <c r="E45" s="129">
        <v>3</v>
      </c>
      <c r="F45" s="129">
        <v>918</v>
      </c>
      <c r="G45" s="130">
        <f t="shared" si="1"/>
        <v>1083.24</v>
      </c>
    </row>
    <row r="46" spans="1:7" ht="21.75" thickBot="1">
      <c r="A46" s="128" t="s">
        <v>619</v>
      </c>
      <c r="B46" s="128" t="s">
        <v>609</v>
      </c>
      <c r="C46" s="129" t="s">
        <v>620</v>
      </c>
      <c r="D46" s="129" t="s">
        <v>524</v>
      </c>
      <c r="E46" s="129">
        <v>5</v>
      </c>
      <c r="F46" s="129">
        <v>1363</v>
      </c>
      <c r="G46" s="130">
        <f t="shared" si="1"/>
        <v>1608.34</v>
      </c>
    </row>
    <row r="47" spans="1:7" ht="21.75" thickBot="1">
      <c r="A47" s="128" t="s">
        <v>621</v>
      </c>
      <c r="B47" s="128" t="s">
        <v>609</v>
      </c>
      <c r="C47" s="129" t="s">
        <v>622</v>
      </c>
      <c r="D47" s="129" t="s">
        <v>524</v>
      </c>
      <c r="E47" s="129">
        <v>10</v>
      </c>
      <c r="F47" s="129">
        <v>4258</v>
      </c>
      <c r="G47" s="130">
        <f t="shared" si="1"/>
        <v>5024.4399999999996</v>
      </c>
    </row>
    <row r="48" spans="1:7" ht="21.75" thickBot="1">
      <c r="A48" s="128" t="s">
        <v>623</v>
      </c>
      <c r="B48" s="128" t="s">
        <v>609</v>
      </c>
      <c r="C48" s="129" t="s">
        <v>624</v>
      </c>
      <c r="D48" s="129" t="s">
        <v>524</v>
      </c>
      <c r="E48" s="129">
        <v>10</v>
      </c>
      <c r="F48" s="129">
        <v>2128</v>
      </c>
      <c r="G48" s="130">
        <f t="shared" si="1"/>
        <v>2511.04</v>
      </c>
    </row>
    <row r="49" spans="1:7" ht="21.75" thickBot="1">
      <c r="A49" s="128" t="s">
        <v>625</v>
      </c>
      <c r="B49" s="128" t="s">
        <v>609</v>
      </c>
      <c r="C49" s="129" t="s">
        <v>626</v>
      </c>
      <c r="D49" s="129" t="s">
        <v>547</v>
      </c>
      <c r="E49" s="129">
        <v>1</v>
      </c>
      <c r="F49" s="129">
        <v>611</v>
      </c>
      <c r="G49" s="130">
        <f t="shared" si="1"/>
        <v>720.98</v>
      </c>
    </row>
    <row r="50" spans="1:7" ht="21.75" thickBot="1">
      <c r="A50" s="128" t="s">
        <v>627</v>
      </c>
      <c r="B50" s="128" t="s">
        <v>609</v>
      </c>
      <c r="C50" s="129" t="s">
        <v>628</v>
      </c>
      <c r="D50" s="129" t="s">
        <v>547</v>
      </c>
      <c r="E50" s="129">
        <v>1</v>
      </c>
      <c r="F50" s="129">
        <v>306</v>
      </c>
      <c r="G50" s="130">
        <f t="shared" si="1"/>
        <v>361.08</v>
      </c>
    </row>
    <row r="51" spans="1:7" ht="21.75" thickBot="1">
      <c r="A51" s="128" t="s">
        <v>629</v>
      </c>
      <c r="B51" s="128" t="s">
        <v>609</v>
      </c>
      <c r="C51" s="129" t="s">
        <v>630</v>
      </c>
      <c r="D51" s="129" t="s">
        <v>547</v>
      </c>
      <c r="E51" s="129">
        <v>2</v>
      </c>
      <c r="F51" s="129">
        <v>932</v>
      </c>
      <c r="G51" s="130">
        <f t="shared" si="1"/>
        <v>1099.76</v>
      </c>
    </row>
    <row r="52" spans="1:7" ht="21.75" thickBot="1">
      <c r="A52" s="128" t="s">
        <v>631</v>
      </c>
      <c r="B52" s="128" t="s">
        <v>609</v>
      </c>
      <c r="C52" s="129" t="s">
        <v>632</v>
      </c>
      <c r="D52" s="129" t="s">
        <v>547</v>
      </c>
      <c r="E52" s="129">
        <v>2</v>
      </c>
      <c r="F52" s="129">
        <v>465</v>
      </c>
      <c r="G52" s="130">
        <f t="shared" si="1"/>
        <v>548.69999999999993</v>
      </c>
    </row>
    <row r="53" spans="1:7" ht="21.75" thickBot="1">
      <c r="A53" s="128" t="s">
        <v>633</v>
      </c>
      <c r="B53" s="128" t="s">
        <v>609</v>
      </c>
      <c r="C53" s="129" t="s">
        <v>634</v>
      </c>
      <c r="D53" s="129" t="s">
        <v>547</v>
      </c>
      <c r="E53" s="129">
        <v>5</v>
      </c>
      <c r="F53" s="129">
        <v>2758</v>
      </c>
      <c r="G53" s="130">
        <f t="shared" si="1"/>
        <v>3254.44</v>
      </c>
    </row>
    <row r="54" spans="1:7" ht="21.75" thickBot="1">
      <c r="A54" s="128" t="s">
        <v>635</v>
      </c>
      <c r="B54" s="128" t="s">
        <v>609</v>
      </c>
      <c r="C54" s="129" t="s">
        <v>636</v>
      </c>
      <c r="D54" s="129" t="s">
        <v>547</v>
      </c>
      <c r="E54" s="129">
        <v>5</v>
      </c>
      <c r="F54" s="129">
        <v>1380</v>
      </c>
      <c r="G54" s="130">
        <f t="shared" si="1"/>
        <v>1628.3999999999999</v>
      </c>
    </row>
    <row r="55" spans="1:7" ht="21.75" thickBot="1">
      <c r="A55" s="128" t="s">
        <v>637</v>
      </c>
      <c r="B55" s="128" t="s">
        <v>609</v>
      </c>
      <c r="C55" s="129" t="s">
        <v>638</v>
      </c>
      <c r="D55" s="129" t="s">
        <v>547</v>
      </c>
      <c r="E55" s="129">
        <v>10</v>
      </c>
      <c r="F55" s="129">
        <v>4309</v>
      </c>
      <c r="G55" s="130">
        <f t="shared" si="1"/>
        <v>5084.62</v>
      </c>
    </row>
    <row r="56" spans="1:7" ht="21.75" thickBot="1">
      <c r="A56" s="128" t="s">
        <v>639</v>
      </c>
      <c r="B56" s="128" t="s">
        <v>609</v>
      </c>
      <c r="C56" s="129" t="s">
        <v>640</v>
      </c>
      <c r="D56" s="129" t="s">
        <v>547</v>
      </c>
      <c r="E56" s="129">
        <v>10</v>
      </c>
      <c r="F56" s="129">
        <v>2156</v>
      </c>
      <c r="G56" s="130">
        <f t="shared" si="1"/>
        <v>2544.08</v>
      </c>
    </row>
    <row r="57" spans="1:7" ht="21.75" thickBot="1">
      <c r="A57" s="128" t="s">
        <v>641</v>
      </c>
      <c r="B57" s="128" t="s">
        <v>642</v>
      </c>
      <c r="C57" s="129" t="s">
        <v>643</v>
      </c>
      <c r="D57" s="129" t="s">
        <v>524</v>
      </c>
      <c r="E57" s="129">
        <v>1</v>
      </c>
      <c r="F57" s="129">
        <v>1771</v>
      </c>
      <c r="G57" s="130">
        <f t="shared" si="1"/>
        <v>2089.7799999999997</v>
      </c>
    </row>
    <row r="58" spans="1:7" ht="21.75" thickBot="1">
      <c r="A58" s="128" t="s">
        <v>644</v>
      </c>
      <c r="B58" s="128" t="s">
        <v>642</v>
      </c>
      <c r="C58" s="129" t="s">
        <v>645</v>
      </c>
      <c r="D58" s="129" t="s">
        <v>524</v>
      </c>
      <c r="E58" s="129">
        <v>1</v>
      </c>
      <c r="F58" s="129">
        <v>886</v>
      </c>
      <c r="G58" s="130">
        <f t="shared" si="1"/>
        <v>1045.48</v>
      </c>
    </row>
    <row r="59" spans="1:7" ht="21.75" thickBot="1">
      <c r="A59" s="128" t="s">
        <v>646</v>
      </c>
      <c r="B59" s="128" t="s">
        <v>642</v>
      </c>
      <c r="C59" s="129" t="s">
        <v>647</v>
      </c>
      <c r="D59" s="129" t="s">
        <v>547</v>
      </c>
      <c r="E59" s="129">
        <v>1</v>
      </c>
      <c r="F59" s="129">
        <v>1230</v>
      </c>
      <c r="G59" s="130">
        <f t="shared" si="1"/>
        <v>1451.3999999999999</v>
      </c>
    </row>
    <row r="60" spans="1:7" ht="21.75" thickBot="1">
      <c r="A60" s="128" t="s">
        <v>648</v>
      </c>
      <c r="B60" s="128" t="s">
        <v>642</v>
      </c>
      <c r="C60" s="129" t="s">
        <v>649</v>
      </c>
      <c r="D60" s="129" t="s">
        <v>547</v>
      </c>
      <c r="E60" s="129">
        <v>1</v>
      </c>
      <c r="F60" s="129">
        <v>616</v>
      </c>
      <c r="G60" s="130">
        <f t="shared" si="1"/>
        <v>726.88</v>
      </c>
    </row>
    <row r="61" spans="1:7" ht="21.75" thickBot="1">
      <c r="A61" s="128" t="s">
        <v>650</v>
      </c>
      <c r="B61" s="128" t="s">
        <v>651</v>
      </c>
      <c r="C61" s="129" t="s">
        <v>652</v>
      </c>
      <c r="D61" s="129" t="s">
        <v>524</v>
      </c>
      <c r="E61" s="129">
        <v>1</v>
      </c>
      <c r="F61" s="129">
        <v>299</v>
      </c>
      <c r="G61" s="130">
        <f t="shared" si="1"/>
        <v>352.82</v>
      </c>
    </row>
    <row r="62" spans="1:7" ht="21.75" thickBot="1">
      <c r="A62" s="128" t="s">
        <v>653</v>
      </c>
      <c r="B62" s="128" t="s">
        <v>651</v>
      </c>
      <c r="C62" s="129" t="s">
        <v>654</v>
      </c>
      <c r="D62" s="129" t="s">
        <v>524</v>
      </c>
      <c r="E62" s="129">
        <v>1</v>
      </c>
      <c r="F62" s="129">
        <v>199</v>
      </c>
      <c r="G62" s="130">
        <f t="shared" si="1"/>
        <v>234.82</v>
      </c>
    </row>
    <row r="63" spans="1:7" ht="21.75" thickBot="1">
      <c r="A63" s="128" t="s">
        <v>655</v>
      </c>
      <c r="B63" s="128" t="s">
        <v>651</v>
      </c>
      <c r="C63" s="129" t="s">
        <v>656</v>
      </c>
      <c r="D63" s="129" t="s">
        <v>524</v>
      </c>
      <c r="E63" s="129">
        <v>1</v>
      </c>
      <c r="F63" s="129">
        <v>195</v>
      </c>
      <c r="G63" s="130">
        <f t="shared" si="1"/>
        <v>230.1</v>
      </c>
    </row>
    <row r="64" spans="1:7" ht="21.75" thickBot="1">
      <c r="A64" s="128" t="s">
        <v>657</v>
      </c>
      <c r="B64" s="128" t="s">
        <v>651</v>
      </c>
      <c r="C64" s="129" t="s">
        <v>658</v>
      </c>
      <c r="D64" s="129" t="s">
        <v>524</v>
      </c>
      <c r="E64" s="129">
        <v>1</v>
      </c>
      <c r="F64" s="129">
        <v>1950</v>
      </c>
      <c r="G64" s="130">
        <f t="shared" si="1"/>
        <v>2301</v>
      </c>
    </row>
    <row r="65" spans="1:7" ht="21.75" thickBot="1">
      <c r="A65" s="128" t="s">
        <v>659</v>
      </c>
      <c r="B65" s="128" t="s">
        <v>660</v>
      </c>
      <c r="C65" s="129" t="s">
        <v>661</v>
      </c>
      <c r="D65" s="129" t="s">
        <v>524</v>
      </c>
      <c r="E65" s="129">
        <v>1</v>
      </c>
      <c r="F65" s="129">
        <v>684</v>
      </c>
      <c r="G65" s="130">
        <f t="shared" si="1"/>
        <v>807.12</v>
      </c>
    </row>
    <row r="66" spans="1:7" ht="21.75" thickBot="1">
      <c r="A66" s="128" t="s">
        <v>662</v>
      </c>
      <c r="B66" s="128" t="s">
        <v>663</v>
      </c>
      <c r="C66" s="129" t="s">
        <v>664</v>
      </c>
      <c r="D66" s="129" t="s">
        <v>524</v>
      </c>
      <c r="E66" s="129">
        <v>1</v>
      </c>
      <c r="F66" s="129">
        <v>250</v>
      </c>
      <c r="G66" s="130">
        <f t="shared" si="1"/>
        <v>295</v>
      </c>
    </row>
    <row r="67" spans="1:7" ht="21.75" thickBot="1">
      <c r="A67" s="128" t="s">
        <v>665</v>
      </c>
      <c r="B67" s="128" t="s">
        <v>663</v>
      </c>
      <c r="C67" s="129" t="s">
        <v>666</v>
      </c>
      <c r="D67" s="129" t="s">
        <v>524</v>
      </c>
      <c r="E67" s="129">
        <v>1</v>
      </c>
      <c r="F67" s="129">
        <v>110</v>
      </c>
      <c r="G67" s="130">
        <f t="shared" si="1"/>
        <v>129.79999999999998</v>
      </c>
    </row>
    <row r="68" spans="1:7" ht="21.75" thickBot="1">
      <c r="A68" s="128" t="s">
        <v>667</v>
      </c>
      <c r="B68" s="128" t="s">
        <v>668</v>
      </c>
      <c r="C68" s="129" t="s">
        <v>669</v>
      </c>
      <c r="D68" s="129" t="s">
        <v>524</v>
      </c>
      <c r="E68" s="129">
        <v>1</v>
      </c>
      <c r="F68" s="129">
        <v>160</v>
      </c>
      <c r="G68" s="130">
        <f t="shared" si="1"/>
        <v>188.79999999999998</v>
      </c>
    </row>
    <row r="70" spans="1:7" ht="21">
      <c r="A70" s="89" t="s">
        <v>104</v>
      </c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D6" sqref="D6"/>
    </sheetView>
  </sheetViews>
  <sheetFormatPr defaultRowHeight="15.75"/>
  <cols>
    <col min="1" max="1" width="78.375" bestFit="1" customWidth="1"/>
    <col min="2" max="2" width="10" customWidth="1"/>
  </cols>
  <sheetData>
    <row r="1" spans="1:2" ht="24" thickBot="1">
      <c r="A1" s="133" t="s">
        <v>709</v>
      </c>
      <c r="B1" s="133"/>
    </row>
    <row r="2" spans="1:2" ht="19.5" thickBot="1">
      <c r="A2" s="119" t="s">
        <v>196</v>
      </c>
      <c r="B2" s="119" t="s">
        <v>197</v>
      </c>
    </row>
    <row r="3" spans="1:2" ht="19.5" thickBot="1">
      <c r="A3" s="119"/>
      <c r="B3" s="119"/>
    </row>
    <row r="4" spans="1:2" ht="24" thickBot="1">
      <c r="A4" s="135" t="s">
        <v>671</v>
      </c>
      <c r="B4" s="112">
        <v>960</v>
      </c>
    </row>
    <row r="5" spans="1:2" ht="24" thickBot="1">
      <c r="A5" s="135" t="s">
        <v>672</v>
      </c>
      <c r="B5" s="112">
        <v>550</v>
      </c>
    </row>
    <row r="6" spans="1:2" ht="24" thickBot="1">
      <c r="A6" s="115" t="s">
        <v>673</v>
      </c>
      <c r="B6" s="112"/>
    </row>
    <row r="7" spans="1:2" ht="24" thickBot="1">
      <c r="A7" s="115" t="s">
        <v>674</v>
      </c>
      <c r="B7" s="112">
        <v>250</v>
      </c>
    </row>
    <row r="8" spans="1:2" ht="24" thickBot="1">
      <c r="A8" s="135" t="s">
        <v>675</v>
      </c>
      <c r="B8" s="112">
        <v>210</v>
      </c>
    </row>
    <row r="9" spans="1:2" ht="24" thickBot="1">
      <c r="A9" s="135" t="s">
        <v>676</v>
      </c>
      <c r="B9" s="112">
        <v>165</v>
      </c>
    </row>
    <row r="10" spans="1:2" ht="24" thickBot="1">
      <c r="A10" s="135" t="s">
        <v>677</v>
      </c>
      <c r="B10" s="112">
        <v>180</v>
      </c>
    </row>
    <row r="11" spans="1:2" ht="24" thickBot="1">
      <c r="A11" s="135" t="s">
        <v>678</v>
      </c>
      <c r="B11" s="112">
        <v>165</v>
      </c>
    </row>
    <row r="12" spans="1:2" ht="24" thickBot="1">
      <c r="A12" s="135" t="s">
        <v>679</v>
      </c>
      <c r="B12" s="112">
        <v>260</v>
      </c>
    </row>
    <row r="13" spans="1:2" ht="24" thickBot="1">
      <c r="A13" s="135" t="s">
        <v>680</v>
      </c>
      <c r="B13" s="112">
        <v>300</v>
      </c>
    </row>
    <row r="14" spans="1:2" ht="24" thickBot="1">
      <c r="A14" s="135" t="s">
        <v>681</v>
      </c>
      <c r="B14" s="112">
        <v>575</v>
      </c>
    </row>
    <row r="15" spans="1:2" ht="24" thickBot="1">
      <c r="A15" s="135" t="s">
        <v>682</v>
      </c>
      <c r="B15" s="112">
        <v>490</v>
      </c>
    </row>
    <row r="16" spans="1:2" ht="24" thickBot="1">
      <c r="A16" s="134" t="s">
        <v>683</v>
      </c>
      <c r="B16" s="112"/>
    </row>
    <row r="17" spans="1:2" ht="24" thickBot="1">
      <c r="A17" s="136" t="s">
        <v>684</v>
      </c>
      <c r="B17" s="112">
        <v>150</v>
      </c>
    </row>
    <row r="18" spans="1:2" ht="24" thickBot="1">
      <c r="A18" s="136" t="s">
        <v>685</v>
      </c>
      <c r="B18" s="112">
        <v>480</v>
      </c>
    </row>
    <row r="19" spans="1:2" ht="24" thickBot="1">
      <c r="A19" s="136" t="s">
        <v>686</v>
      </c>
      <c r="B19" s="112">
        <v>260</v>
      </c>
    </row>
    <row r="20" spans="1:2" ht="24" thickBot="1">
      <c r="A20" s="114" t="s">
        <v>687</v>
      </c>
      <c r="B20" s="112"/>
    </row>
    <row r="21" spans="1:2" ht="24" thickBot="1">
      <c r="A21" s="114" t="s">
        <v>688</v>
      </c>
      <c r="B21" s="112"/>
    </row>
    <row r="22" spans="1:2" ht="24" thickBot="1">
      <c r="A22" s="136" t="s">
        <v>689</v>
      </c>
      <c r="B22" s="112">
        <v>350</v>
      </c>
    </row>
    <row r="23" spans="1:2" ht="24" thickBot="1">
      <c r="A23" s="136" t="s">
        <v>690</v>
      </c>
      <c r="B23" s="112">
        <v>170</v>
      </c>
    </row>
    <row r="24" spans="1:2" ht="24" thickBot="1">
      <c r="A24" s="136" t="s">
        <v>691</v>
      </c>
      <c r="B24" s="112">
        <v>180</v>
      </c>
    </row>
    <row r="25" spans="1:2" ht="24" thickBot="1">
      <c r="A25" s="136" t="s">
        <v>692</v>
      </c>
      <c r="B25" s="112">
        <v>250</v>
      </c>
    </row>
    <row r="26" spans="1:2" ht="24" thickBot="1">
      <c r="A26" s="136" t="s">
        <v>693</v>
      </c>
      <c r="B26" s="112">
        <v>170</v>
      </c>
    </row>
    <row r="27" spans="1:2" ht="24" thickBot="1">
      <c r="A27" s="136" t="s">
        <v>694</v>
      </c>
      <c r="B27" s="112">
        <v>130</v>
      </c>
    </row>
    <row r="28" spans="1:2" ht="24" thickBot="1">
      <c r="A28" s="136" t="s">
        <v>695</v>
      </c>
      <c r="B28" s="112">
        <v>68</v>
      </c>
    </row>
    <row r="29" spans="1:2" ht="24" thickBot="1">
      <c r="A29" s="136" t="s">
        <v>696</v>
      </c>
      <c r="B29" s="112">
        <v>65</v>
      </c>
    </row>
    <row r="30" spans="1:2" ht="16.5" thickBot="1">
      <c r="A30" s="134" t="s">
        <v>697</v>
      </c>
      <c r="B30" s="113"/>
    </row>
    <row r="31" spans="1:2" ht="21.75" thickBot="1">
      <c r="A31" s="135" t="s">
        <v>698</v>
      </c>
      <c r="B31" s="71">
        <v>1980</v>
      </c>
    </row>
    <row r="32" spans="1:2" ht="21.75" thickBot="1">
      <c r="A32" s="135" t="s">
        <v>699</v>
      </c>
      <c r="B32" s="71"/>
    </row>
    <row r="33" spans="1:2" ht="21.75" thickBot="1">
      <c r="A33" s="135" t="s">
        <v>700</v>
      </c>
      <c r="B33" s="71">
        <v>6050</v>
      </c>
    </row>
    <row r="34" spans="1:2" ht="21.75" thickBot="1">
      <c r="A34" s="115" t="s">
        <v>701</v>
      </c>
      <c r="B34" s="71"/>
    </row>
    <row r="35" spans="1:2" ht="21.75" thickBot="1">
      <c r="A35" s="135" t="s">
        <v>702</v>
      </c>
      <c r="B35" s="71">
        <v>650</v>
      </c>
    </row>
    <row r="36" spans="1:2" ht="21.75" thickBot="1">
      <c r="A36" s="115" t="s">
        <v>703</v>
      </c>
      <c r="B36" s="71"/>
    </row>
    <row r="37" spans="1:2" ht="21.75" thickBot="1">
      <c r="A37" s="135" t="s">
        <v>704</v>
      </c>
      <c r="B37" s="71">
        <v>260</v>
      </c>
    </row>
    <row r="38" spans="1:2" ht="21.75" thickBot="1">
      <c r="A38" s="135" t="s">
        <v>705</v>
      </c>
      <c r="B38" s="71">
        <v>360</v>
      </c>
    </row>
    <row r="39" spans="1:2" ht="21.75" thickBot="1">
      <c r="A39" s="115" t="s">
        <v>706</v>
      </c>
      <c r="B39" s="71">
        <v>300</v>
      </c>
    </row>
    <row r="40" spans="1:2" ht="21.75" thickBot="1">
      <c r="A40" s="115" t="s">
        <v>707</v>
      </c>
      <c r="B40" s="71">
        <v>400</v>
      </c>
    </row>
    <row r="41" spans="1:2" ht="21.75" thickBot="1">
      <c r="A41" s="115" t="s">
        <v>708</v>
      </c>
      <c r="B41" s="71">
        <v>320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A33" sqref="A33"/>
    </sheetView>
  </sheetViews>
  <sheetFormatPr defaultRowHeight="15.75"/>
  <cols>
    <col min="1" max="1" width="79.75" bestFit="1" customWidth="1"/>
    <col min="2" max="2" width="15.5" bestFit="1" customWidth="1"/>
  </cols>
  <sheetData>
    <row r="1" spans="1:2" ht="27" thickBot="1">
      <c r="A1" s="17" t="s">
        <v>710</v>
      </c>
      <c r="B1" s="37">
        <v>46174</v>
      </c>
    </row>
    <row r="2" spans="1:2" ht="27" thickBot="1">
      <c r="A2" s="19" t="s">
        <v>711</v>
      </c>
      <c r="B2" s="137">
        <v>46174</v>
      </c>
    </row>
    <row r="3" spans="1:2" ht="27" thickBot="1">
      <c r="A3" s="19" t="s">
        <v>712</v>
      </c>
      <c r="B3" s="19">
        <v>2050</v>
      </c>
    </row>
    <row r="4" spans="1:2" ht="27" thickBot="1">
      <c r="A4" s="19" t="s">
        <v>713</v>
      </c>
      <c r="B4" s="19">
        <v>2600</v>
      </c>
    </row>
    <row r="5" spans="1:2" ht="27" thickBot="1">
      <c r="A5" s="19" t="s">
        <v>714</v>
      </c>
      <c r="B5" s="19">
        <v>3300</v>
      </c>
    </row>
    <row r="6" spans="1:2" ht="27" thickBot="1">
      <c r="A6" s="19" t="s">
        <v>715</v>
      </c>
      <c r="B6" s="19">
        <v>3000</v>
      </c>
    </row>
    <row r="7" spans="1:2" ht="27" thickBot="1">
      <c r="A7" s="19" t="s">
        <v>716</v>
      </c>
      <c r="B7" s="19">
        <v>4500</v>
      </c>
    </row>
    <row r="8" spans="1:2" ht="27" thickBot="1">
      <c r="A8" s="19" t="s">
        <v>717</v>
      </c>
      <c r="B8" s="19">
        <v>6000</v>
      </c>
    </row>
    <row r="9" spans="1:2" ht="27" thickBot="1">
      <c r="A9" s="19" t="s">
        <v>718</v>
      </c>
      <c r="B9" s="19">
        <v>11000</v>
      </c>
    </row>
    <row r="10" spans="1:2" ht="27" thickBot="1">
      <c r="A10" s="19" t="s">
        <v>719</v>
      </c>
      <c r="B10" s="19"/>
    </row>
    <row r="11" spans="1:2" ht="27" thickBot="1">
      <c r="A11" s="19" t="s">
        <v>720</v>
      </c>
      <c r="B11" s="19">
        <v>2000</v>
      </c>
    </row>
    <row r="12" spans="1:2" ht="27" thickBot="1">
      <c r="A12" s="19" t="s">
        <v>714</v>
      </c>
      <c r="B12" s="19">
        <v>3500</v>
      </c>
    </row>
    <row r="13" spans="1:2" ht="27" thickBot="1">
      <c r="A13" s="19" t="s">
        <v>721</v>
      </c>
      <c r="B13" s="19">
        <v>6000</v>
      </c>
    </row>
    <row r="14" spans="1:2" ht="27" thickBot="1">
      <c r="A14" s="19" t="s">
        <v>722</v>
      </c>
      <c r="B14" s="19"/>
    </row>
    <row r="15" spans="1:2" ht="27" thickBot="1">
      <c r="A15" s="19" t="s">
        <v>723</v>
      </c>
      <c r="B15" s="19">
        <v>2500</v>
      </c>
    </row>
    <row r="16" spans="1:2" ht="27" thickBot="1">
      <c r="A16" s="19" t="s">
        <v>714</v>
      </c>
      <c r="B16" s="19">
        <v>4300</v>
      </c>
    </row>
    <row r="17" spans="1:2" ht="27" thickBot="1">
      <c r="A17" s="19" t="s">
        <v>724</v>
      </c>
      <c r="B17" s="19">
        <v>3650</v>
      </c>
    </row>
    <row r="18" spans="1:2" ht="27" thickBot="1">
      <c r="A18" s="19" t="s">
        <v>725</v>
      </c>
      <c r="B18" s="19">
        <v>6500</v>
      </c>
    </row>
    <row r="19" spans="1:2" ht="27" thickBot="1">
      <c r="A19" s="19" t="s">
        <v>726</v>
      </c>
      <c r="B19" s="19">
        <v>6000</v>
      </c>
    </row>
    <row r="20" spans="1:2" ht="27" thickBot="1">
      <c r="A20" s="19" t="s">
        <v>727</v>
      </c>
      <c r="B20" s="19">
        <v>6800</v>
      </c>
    </row>
    <row r="21" spans="1:2" ht="27" thickBot="1">
      <c r="A21" s="19" t="s">
        <v>728</v>
      </c>
      <c r="B21" s="19">
        <v>9000</v>
      </c>
    </row>
    <row r="22" spans="1:2" ht="27" thickBot="1">
      <c r="A22" s="19" t="s">
        <v>729</v>
      </c>
      <c r="B22" s="19">
        <v>15000</v>
      </c>
    </row>
    <row r="23" spans="1:2" ht="27" thickBot="1">
      <c r="A23" s="19"/>
      <c r="B23" s="19"/>
    </row>
    <row r="24" spans="1:2" ht="27" thickBot="1">
      <c r="A24" s="40" t="s">
        <v>730</v>
      </c>
      <c r="B24" s="19" t="s">
        <v>731</v>
      </c>
    </row>
    <row r="25" spans="1:2" ht="27" thickBot="1">
      <c r="A25" s="40" t="s">
        <v>732</v>
      </c>
      <c r="B25" s="19" t="s">
        <v>733</v>
      </c>
    </row>
    <row r="26" spans="1:2" ht="27" thickBot="1">
      <c r="A26" s="40" t="s">
        <v>734</v>
      </c>
      <c r="B26" s="19" t="s">
        <v>735</v>
      </c>
    </row>
    <row r="27" spans="1:2" ht="16.5" thickBot="1">
      <c r="A27" s="41"/>
      <c r="B27" s="41"/>
    </row>
    <row r="28" spans="1:2" ht="27" thickBot="1">
      <c r="A28" s="40" t="s">
        <v>736</v>
      </c>
      <c r="B28" s="4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opLeftCell="A22" workbookViewId="0">
      <selection activeCell="C36" sqref="C36"/>
    </sheetView>
  </sheetViews>
  <sheetFormatPr defaultRowHeight="15.75"/>
  <cols>
    <col min="1" max="1" width="58" bestFit="1" customWidth="1"/>
    <col min="2" max="2" width="14.625" bestFit="1" customWidth="1"/>
    <col min="3" max="3" width="13.375" bestFit="1" customWidth="1"/>
    <col min="4" max="4" width="8" bestFit="1" customWidth="1"/>
  </cols>
  <sheetData>
    <row r="1" spans="1:4" ht="29.25" thickBot="1">
      <c r="A1" s="127" t="s">
        <v>782</v>
      </c>
      <c r="B1" s="127"/>
      <c r="C1" s="127"/>
      <c r="D1" s="127"/>
    </row>
    <row r="2" spans="1:4" ht="21.75" thickBot="1">
      <c r="A2" s="71" t="s">
        <v>737</v>
      </c>
      <c r="B2" s="138">
        <v>46174</v>
      </c>
      <c r="C2" s="71" t="s">
        <v>738</v>
      </c>
      <c r="D2" s="139" t="s">
        <v>86</v>
      </c>
    </row>
    <row r="3" spans="1:4" ht="21.75" thickBot="1">
      <c r="A3" s="71" t="s">
        <v>739</v>
      </c>
      <c r="B3" s="71" t="s">
        <v>740</v>
      </c>
      <c r="C3" s="71">
        <v>800</v>
      </c>
      <c r="D3" s="71">
        <v>600</v>
      </c>
    </row>
    <row r="4" spans="1:4" ht="21.75" thickBot="1">
      <c r="A4" s="71" t="s">
        <v>741</v>
      </c>
      <c r="B4" s="71"/>
      <c r="C4" s="71"/>
      <c r="D4" s="71"/>
    </row>
    <row r="5" spans="1:4" ht="21.75" thickBot="1">
      <c r="A5" s="71" t="s">
        <v>742</v>
      </c>
      <c r="B5" s="71" t="s">
        <v>740</v>
      </c>
      <c r="C5" s="71" t="s">
        <v>743</v>
      </c>
      <c r="D5" s="71">
        <v>450</v>
      </c>
    </row>
    <row r="6" spans="1:4" ht="21.75" thickBot="1">
      <c r="A6" s="71" t="s">
        <v>744</v>
      </c>
      <c r="B6" s="71" t="s">
        <v>740</v>
      </c>
      <c r="C6" s="71" t="s">
        <v>743</v>
      </c>
      <c r="D6" s="71">
        <v>750</v>
      </c>
    </row>
    <row r="7" spans="1:4" ht="21.75" thickBot="1">
      <c r="A7" s="71" t="s">
        <v>745</v>
      </c>
      <c r="B7" s="71" t="s">
        <v>746</v>
      </c>
      <c r="C7" s="71">
        <v>1600</v>
      </c>
      <c r="D7" s="71">
        <v>650</v>
      </c>
    </row>
    <row r="8" spans="1:4" ht="21.75" thickBot="1">
      <c r="A8" s="71" t="s">
        <v>747</v>
      </c>
      <c r="B8" s="71" t="s">
        <v>740</v>
      </c>
      <c r="C8" s="71" t="s">
        <v>743</v>
      </c>
      <c r="D8" s="71">
        <v>1850</v>
      </c>
    </row>
    <row r="9" spans="1:4" ht="21.75" thickBot="1">
      <c r="A9" s="71" t="s">
        <v>748</v>
      </c>
      <c r="B9" s="71" t="s">
        <v>746</v>
      </c>
      <c r="C9" s="71">
        <v>1600</v>
      </c>
      <c r="D9" s="71">
        <v>1450</v>
      </c>
    </row>
    <row r="10" spans="1:4" ht="21.75" thickBot="1">
      <c r="A10" s="71" t="s">
        <v>749</v>
      </c>
      <c r="B10" s="71" t="s">
        <v>750</v>
      </c>
      <c r="C10" s="71">
        <v>1600</v>
      </c>
      <c r="D10" s="71">
        <v>1450</v>
      </c>
    </row>
    <row r="11" spans="1:4" ht="21.75" thickBot="1">
      <c r="A11" s="71" t="s">
        <v>751</v>
      </c>
      <c r="B11" s="71"/>
      <c r="C11" s="71"/>
      <c r="D11" s="71"/>
    </row>
    <row r="12" spans="1:4" ht="21.75" thickBot="1">
      <c r="A12" s="71" t="s">
        <v>752</v>
      </c>
      <c r="B12" s="71" t="s">
        <v>740</v>
      </c>
      <c r="C12" s="71">
        <v>2666</v>
      </c>
      <c r="D12" s="71">
        <v>1850</v>
      </c>
    </row>
    <row r="13" spans="1:4" ht="21.75" thickBot="1">
      <c r="A13" s="71" t="s">
        <v>753</v>
      </c>
      <c r="B13" s="71" t="s">
        <v>754</v>
      </c>
      <c r="C13" s="71">
        <v>2666</v>
      </c>
      <c r="D13" s="71">
        <v>1650</v>
      </c>
    </row>
    <row r="14" spans="1:4" ht="21.75" thickBot="1">
      <c r="A14" s="140" t="s">
        <v>755</v>
      </c>
      <c r="B14" s="140" t="s">
        <v>750</v>
      </c>
      <c r="C14" s="140">
        <v>2666</v>
      </c>
      <c r="D14" s="140">
        <v>2950</v>
      </c>
    </row>
    <row r="15" spans="1:4" ht="21.75" thickBot="1">
      <c r="A15" s="140" t="s">
        <v>756</v>
      </c>
      <c r="B15" s="140" t="s">
        <v>746</v>
      </c>
      <c r="C15" s="140">
        <v>2666</v>
      </c>
      <c r="D15" s="140">
        <v>3200</v>
      </c>
    </row>
    <row r="16" spans="1:4" ht="21.75" thickBot="1">
      <c r="A16" s="71" t="s">
        <v>757</v>
      </c>
      <c r="B16" s="71" t="s">
        <v>740</v>
      </c>
      <c r="C16" s="71">
        <v>3200</v>
      </c>
      <c r="D16" s="71">
        <v>4000</v>
      </c>
    </row>
    <row r="17" spans="1:4" ht="21.75" thickBot="1">
      <c r="A17" s="71" t="s">
        <v>758</v>
      </c>
      <c r="B17" s="71" t="s">
        <v>759</v>
      </c>
      <c r="C17" s="71">
        <v>2666</v>
      </c>
      <c r="D17" s="71">
        <v>3200</v>
      </c>
    </row>
    <row r="18" spans="1:4" ht="21.75" thickBot="1">
      <c r="A18" s="71" t="s">
        <v>757</v>
      </c>
      <c r="B18" s="71" t="s">
        <v>760</v>
      </c>
      <c r="C18" s="71">
        <v>3200</v>
      </c>
      <c r="D18" s="71">
        <v>3900</v>
      </c>
    </row>
    <row r="19" spans="1:4" ht="21.75" thickBot="1">
      <c r="A19" s="71" t="s">
        <v>761</v>
      </c>
      <c r="B19" s="71" t="s">
        <v>762</v>
      </c>
      <c r="C19" s="71" t="s">
        <v>763</v>
      </c>
      <c r="D19" s="71">
        <v>3500</v>
      </c>
    </row>
    <row r="20" spans="1:4" ht="21.75" thickBot="1">
      <c r="A20" s="71" t="s">
        <v>764</v>
      </c>
      <c r="B20" s="71" t="s">
        <v>765</v>
      </c>
      <c r="C20" s="71">
        <v>2666</v>
      </c>
      <c r="D20" s="71">
        <v>8500</v>
      </c>
    </row>
    <row r="21" spans="1:4" ht="21.75" thickBot="1">
      <c r="A21" s="71" t="s">
        <v>766</v>
      </c>
      <c r="B21" s="71" t="s">
        <v>740</v>
      </c>
      <c r="C21" s="71">
        <v>3200</v>
      </c>
      <c r="D21" s="71">
        <v>9500</v>
      </c>
    </row>
    <row r="22" spans="1:4" ht="21.75" thickBot="1">
      <c r="A22" s="71" t="s">
        <v>767</v>
      </c>
      <c r="B22" s="71" t="s">
        <v>750</v>
      </c>
      <c r="C22" s="71">
        <v>2666</v>
      </c>
      <c r="D22" s="71">
        <v>6500</v>
      </c>
    </row>
    <row r="23" spans="1:4" ht="21.75" thickBot="1">
      <c r="A23" s="71" t="s">
        <v>768</v>
      </c>
      <c r="B23" s="71" t="s">
        <v>754</v>
      </c>
      <c r="C23" s="71">
        <v>2666</v>
      </c>
      <c r="D23" s="71">
        <v>7000</v>
      </c>
    </row>
    <row r="24" spans="1:4" ht="21.75" thickBot="1">
      <c r="A24" s="71" t="s">
        <v>769</v>
      </c>
      <c r="B24" s="71" t="s">
        <v>746</v>
      </c>
      <c r="C24" s="71">
        <v>3200</v>
      </c>
      <c r="D24" s="71">
        <v>18000</v>
      </c>
    </row>
    <row r="25" spans="1:4" ht="21.75" thickBot="1">
      <c r="A25" s="71" t="s">
        <v>770</v>
      </c>
      <c r="B25" s="71"/>
      <c r="C25" s="71"/>
      <c r="D25" s="71"/>
    </row>
    <row r="26" spans="1:4" ht="21.75" thickBot="1">
      <c r="A26" s="71" t="s">
        <v>771</v>
      </c>
      <c r="B26" s="71" t="s">
        <v>754</v>
      </c>
      <c r="C26" s="71">
        <v>5600</v>
      </c>
      <c r="D26" s="71">
        <v>9800</v>
      </c>
    </row>
    <row r="27" spans="1:4" ht="21.75" thickBot="1">
      <c r="A27" s="71" t="s">
        <v>772</v>
      </c>
      <c r="B27" s="71" t="s">
        <v>750</v>
      </c>
      <c r="C27" s="71">
        <v>4800</v>
      </c>
      <c r="D27" s="71">
        <v>9200</v>
      </c>
    </row>
    <row r="28" spans="1:4" ht="21.75" thickBot="1">
      <c r="A28" s="71" t="s">
        <v>773</v>
      </c>
      <c r="B28" s="71" t="s">
        <v>740</v>
      </c>
      <c r="C28" s="71">
        <v>5600</v>
      </c>
      <c r="D28" s="71">
        <v>16500</v>
      </c>
    </row>
    <row r="29" spans="1:4" ht="21.75" thickBot="1">
      <c r="A29" s="71" t="s">
        <v>774</v>
      </c>
      <c r="B29" s="71" t="s">
        <v>775</v>
      </c>
      <c r="C29" s="71">
        <v>4800</v>
      </c>
      <c r="D29" s="140">
        <v>24000</v>
      </c>
    </row>
    <row r="30" spans="1:4" ht="16.5" thickBot="1"/>
    <row r="31" spans="1:4" ht="21.75" thickBot="1">
      <c r="A31" s="126" t="s">
        <v>776</v>
      </c>
      <c r="B31" s="126" t="s">
        <v>777</v>
      </c>
    </row>
    <row r="32" spans="1:4" ht="21.75" thickBot="1">
      <c r="A32" s="126" t="s">
        <v>778</v>
      </c>
      <c r="B32" s="126" t="s">
        <v>733</v>
      </c>
    </row>
    <row r="33" spans="1:2" ht="21.75" thickBot="1">
      <c r="A33" s="126" t="s">
        <v>779</v>
      </c>
      <c r="B33" s="126" t="s">
        <v>780</v>
      </c>
    </row>
    <row r="34" spans="1:2" ht="16.5" thickBot="1">
      <c r="A34" s="41"/>
      <c r="B34" s="41"/>
    </row>
    <row r="35" spans="1:2" ht="21.75" thickBot="1">
      <c r="A35" s="126" t="s">
        <v>781</v>
      </c>
      <c r="B35" s="41"/>
    </row>
  </sheetData>
  <mergeCells count="1">
    <mergeCell ref="A1:D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16" sqref="A16"/>
    </sheetView>
  </sheetViews>
  <sheetFormatPr defaultRowHeight="15.75"/>
  <cols>
    <col min="1" max="1" width="94.75" bestFit="1" customWidth="1"/>
    <col min="2" max="2" width="12.25" bestFit="1" customWidth="1"/>
  </cols>
  <sheetData>
    <row r="1" spans="1:2" ht="32.25" thickBot="1">
      <c r="A1" s="91" t="s">
        <v>788</v>
      </c>
      <c r="B1" s="91"/>
    </row>
    <row r="2" spans="1:2" ht="32.25" thickBot="1">
      <c r="A2" s="109" t="s">
        <v>783</v>
      </c>
      <c r="B2" s="141" t="s">
        <v>86</v>
      </c>
    </row>
    <row r="3" spans="1:2" ht="32.25" thickBot="1">
      <c r="A3" s="109" t="s">
        <v>784</v>
      </c>
      <c r="B3" s="109">
        <v>11200</v>
      </c>
    </row>
    <row r="4" spans="1:2" ht="32.25" thickBot="1">
      <c r="A4" s="109" t="s">
        <v>785</v>
      </c>
      <c r="B4" s="109">
        <v>13600</v>
      </c>
    </row>
    <row r="5" spans="1:2" ht="32.25" thickBot="1">
      <c r="A5" s="109"/>
      <c r="B5" s="109"/>
    </row>
    <row r="6" spans="1:2" ht="32.25" thickBot="1">
      <c r="A6" s="109" t="s">
        <v>786</v>
      </c>
      <c r="B6" s="109"/>
    </row>
    <row r="7" spans="1:2" ht="32.25" thickBot="1">
      <c r="A7" s="109" t="s">
        <v>787</v>
      </c>
      <c r="B7" s="109"/>
    </row>
  </sheetData>
  <mergeCells count="1">
    <mergeCell ref="A1:B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>
      <selection activeCell="D8" sqref="D8"/>
    </sheetView>
  </sheetViews>
  <sheetFormatPr defaultRowHeight="15.75"/>
  <cols>
    <col min="1" max="1" width="41.25" bestFit="1" customWidth="1"/>
    <col min="2" max="2" width="10.5" customWidth="1"/>
  </cols>
  <sheetData>
    <row r="1" spans="1:2" ht="24" thickBot="1">
      <c r="A1" s="101" t="s">
        <v>789</v>
      </c>
      <c r="B1" s="101"/>
    </row>
    <row r="2" spans="1:2" ht="19.5" thickBot="1">
      <c r="A2" s="119" t="s">
        <v>790</v>
      </c>
      <c r="B2" s="142">
        <v>46174</v>
      </c>
    </row>
    <row r="3" spans="1:2" ht="16.5" thickBot="1">
      <c r="A3" s="113" t="s">
        <v>791</v>
      </c>
      <c r="B3" s="113">
        <v>180</v>
      </c>
    </row>
    <row r="4" spans="1:2" ht="16.5" thickBot="1">
      <c r="A4" s="113" t="s">
        <v>792</v>
      </c>
      <c r="B4" s="113">
        <v>165</v>
      </c>
    </row>
    <row r="5" spans="1:2" ht="16.5" thickBot="1">
      <c r="A5" s="113" t="s">
        <v>793</v>
      </c>
      <c r="B5" s="113">
        <v>185</v>
      </c>
    </row>
    <row r="6" spans="1:2" ht="16.5" thickBot="1">
      <c r="A6" s="113" t="s">
        <v>794</v>
      </c>
      <c r="B6" s="113">
        <v>195</v>
      </c>
    </row>
    <row r="7" spans="1:2" ht="16.5" thickBot="1">
      <c r="A7" s="113" t="s">
        <v>795</v>
      </c>
      <c r="B7" s="113">
        <v>450</v>
      </c>
    </row>
    <row r="8" spans="1:2" ht="16.5" thickBot="1">
      <c r="A8" s="113" t="s">
        <v>796</v>
      </c>
      <c r="B8" s="113">
        <v>790</v>
      </c>
    </row>
    <row r="9" spans="1:2" ht="16.5" thickBot="1">
      <c r="A9" s="113" t="s">
        <v>797</v>
      </c>
      <c r="B9" s="113">
        <v>575</v>
      </c>
    </row>
    <row r="10" spans="1:2" ht="16.5" thickBot="1">
      <c r="A10" s="113" t="s">
        <v>798</v>
      </c>
      <c r="B10" s="113">
        <v>575</v>
      </c>
    </row>
    <row r="11" spans="1:2" ht="16.5" thickBot="1">
      <c r="A11" s="113" t="s">
        <v>799</v>
      </c>
      <c r="B11" s="113">
        <v>750</v>
      </c>
    </row>
    <row r="12" spans="1:2" ht="16.5" thickBot="1">
      <c r="A12" s="113" t="s">
        <v>800</v>
      </c>
      <c r="B12" s="113">
        <v>650</v>
      </c>
    </row>
    <row r="13" spans="1:2" ht="16.5" thickBot="1">
      <c r="A13" s="113" t="s">
        <v>801</v>
      </c>
      <c r="B13" s="113"/>
    </row>
    <row r="14" spans="1:2" ht="16.5" thickBot="1">
      <c r="A14" s="113" t="s">
        <v>802</v>
      </c>
      <c r="B14" s="113">
        <v>1450</v>
      </c>
    </row>
    <row r="15" spans="1:2" ht="16.5" thickBot="1">
      <c r="A15" s="113" t="s">
        <v>803</v>
      </c>
      <c r="B15" s="113">
        <v>2250</v>
      </c>
    </row>
    <row r="16" spans="1:2" ht="16.5" thickBot="1">
      <c r="A16" s="113"/>
      <c r="B16" s="113"/>
    </row>
    <row r="17" spans="1:2" ht="16.5" thickBot="1">
      <c r="A17" s="113" t="s">
        <v>804</v>
      </c>
      <c r="B17" s="113">
        <v>250</v>
      </c>
    </row>
    <row r="18" spans="1:2" ht="16.5" thickBot="1">
      <c r="A18" s="113" t="s">
        <v>805</v>
      </c>
      <c r="B18" s="113">
        <v>270</v>
      </c>
    </row>
    <row r="19" spans="1:2" ht="16.5" thickBot="1">
      <c r="A19" s="113" t="s">
        <v>806</v>
      </c>
      <c r="B19" s="113">
        <v>140</v>
      </c>
    </row>
    <row r="20" spans="1:2" ht="16.5" thickBot="1">
      <c r="A20" s="113" t="s">
        <v>807</v>
      </c>
      <c r="B20" s="113">
        <v>250</v>
      </c>
    </row>
    <row r="21" spans="1:2" ht="16.5" thickBot="1">
      <c r="A21" s="113" t="s">
        <v>808</v>
      </c>
      <c r="B21" s="113">
        <v>480</v>
      </c>
    </row>
    <row r="22" spans="1:2" ht="16.5" thickBot="1">
      <c r="A22" s="113"/>
      <c r="B22" s="113"/>
    </row>
    <row r="23" spans="1:2" ht="16.5" thickBot="1">
      <c r="A23" s="113" t="s">
        <v>809</v>
      </c>
      <c r="B23" s="113">
        <v>3850</v>
      </c>
    </row>
    <row r="24" spans="1:2" ht="16.5" thickBot="1">
      <c r="A24" s="113"/>
      <c r="B24" s="113"/>
    </row>
    <row r="25" spans="1:2" ht="16.5" thickBot="1">
      <c r="A25" s="113" t="s">
        <v>810</v>
      </c>
      <c r="B25" s="113">
        <v>610</v>
      </c>
    </row>
    <row r="26" spans="1:2" ht="16.5" thickBot="1">
      <c r="A26" s="113"/>
      <c r="B26" s="113"/>
    </row>
    <row r="27" spans="1:2" ht="16.5" thickBot="1">
      <c r="A27" s="113" t="s">
        <v>811</v>
      </c>
      <c r="B27" s="113">
        <v>325</v>
      </c>
    </row>
    <row r="28" spans="1:2" ht="16.5" thickBot="1">
      <c r="A28" s="113"/>
      <c r="B28" s="113"/>
    </row>
    <row r="29" spans="1:2" ht="16.5" thickBot="1">
      <c r="A29" s="113" t="s">
        <v>812</v>
      </c>
      <c r="B29" s="113">
        <v>975</v>
      </c>
    </row>
    <row r="30" spans="1:2" ht="16.5" thickBot="1">
      <c r="A30" s="113" t="s">
        <v>813</v>
      </c>
      <c r="B30" s="113">
        <v>1290</v>
      </c>
    </row>
    <row r="31" spans="1:2" ht="16.5" thickBot="1">
      <c r="A31" s="113" t="s">
        <v>814</v>
      </c>
      <c r="B31" s="113">
        <v>410</v>
      </c>
    </row>
    <row r="32" spans="1:2" ht="16.5" thickBot="1">
      <c r="A32" s="113"/>
      <c r="B32" s="113"/>
    </row>
    <row r="33" spans="1:2" ht="16.5" thickBot="1">
      <c r="A33" s="113" t="s">
        <v>815</v>
      </c>
      <c r="B33" s="113">
        <v>1300</v>
      </c>
    </row>
    <row r="34" spans="1:2" ht="16.5" thickBot="1">
      <c r="A34" s="113" t="s">
        <v>816</v>
      </c>
      <c r="B34" s="113">
        <v>4150</v>
      </c>
    </row>
    <row r="35" spans="1:2" ht="16.5" thickBot="1">
      <c r="A35" s="113" t="s">
        <v>817</v>
      </c>
      <c r="B35" s="113">
        <v>4150</v>
      </c>
    </row>
    <row r="36" spans="1:2" ht="16.5" thickBot="1">
      <c r="A36" s="113" t="s">
        <v>818</v>
      </c>
      <c r="B36" s="113">
        <v>4990</v>
      </c>
    </row>
    <row r="37" spans="1:2" ht="16.5" thickBot="1">
      <c r="A37" s="113"/>
      <c r="B37" s="113"/>
    </row>
    <row r="38" spans="1:2" ht="16.5" thickBot="1">
      <c r="A38" s="113" t="s">
        <v>819</v>
      </c>
      <c r="B38" s="113">
        <v>1925</v>
      </c>
    </row>
    <row r="39" spans="1:2" ht="16.5" thickBot="1">
      <c r="A39" s="113" t="s">
        <v>820</v>
      </c>
      <c r="B39" s="113">
        <v>2750</v>
      </c>
    </row>
    <row r="40" spans="1:2" ht="16.5" thickBot="1">
      <c r="A40" s="113"/>
      <c r="B40" s="113"/>
    </row>
    <row r="41" spans="1:2" ht="16.5" thickBot="1">
      <c r="A41" s="113" t="s">
        <v>821</v>
      </c>
      <c r="B41" s="113">
        <v>1400</v>
      </c>
    </row>
    <row r="42" spans="1:2" ht="16.5" thickBot="1">
      <c r="A42" s="113"/>
      <c r="B42" s="113"/>
    </row>
    <row r="43" spans="1:2" ht="16.5" thickBot="1">
      <c r="A43" s="113" t="s">
        <v>822</v>
      </c>
      <c r="B43" s="113">
        <v>2000</v>
      </c>
    </row>
    <row r="44" spans="1:2" ht="16.5" thickBot="1">
      <c r="A44" s="113" t="s">
        <v>823</v>
      </c>
      <c r="B44" s="113">
        <v>2900</v>
      </c>
    </row>
    <row r="45" spans="1:2" ht="16.5" thickBot="1">
      <c r="A45" s="113" t="s">
        <v>824</v>
      </c>
      <c r="B45" s="113">
        <v>2500</v>
      </c>
    </row>
    <row r="46" spans="1:2" ht="16.5" thickBot="1">
      <c r="A46" s="113" t="s">
        <v>825</v>
      </c>
      <c r="B46" s="113">
        <v>3400</v>
      </c>
    </row>
    <row r="47" spans="1:2" ht="16.5" thickBot="1">
      <c r="A47" s="113"/>
      <c r="B47" s="113"/>
    </row>
    <row r="48" spans="1:2" ht="16.5" thickBot="1">
      <c r="A48" s="113" t="s">
        <v>826</v>
      </c>
      <c r="B48" s="113">
        <v>285</v>
      </c>
    </row>
    <row r="49" spans="1:2" ht="16.5" thickBot="1">
      <c r="A49" s="113"/>
      <c r="B49" s="113"/>
    </row>
    <row r="50" spans="1:2" ht="16.5" thickBot="1">
      <c r="A50" s="113" t="s">
        <v>827</v>
      </c>
      <c r="B50" s="113">
        <v>390</v>
      </c>
    </row>
    <row r="51" spans="1:2" ht="16.5" thickBot="1">
      <c r="A51" s="113" t="s">
        <v>828</v>
      </c>
      <c r="B51" s="113">
        <v>290</v>
      </c>
    </row>
    <row r="52" spans="1:2" ht="16.5" thickBot="1">
      <c r="A52" s="113" t="s">
        <v>829</v>
      </c>
      <c r="B52" s="113">
        <v>425</v>
      </c>
    </row>
    <row r="53" spans="1:2" ht="16.5" thickBot="1">
      <c r="A53" s="113" t="s">
        <v>830</v>
      </c>
      <c r="B53" s="113">
        <v>650</v>
      </c>
    </row>
    <row r="54" spans="1:2" ht="16.5" thickBot="1">
      <c r="A54" s="113"/>
      <c r="B54" s="113"/>
    </row>
    <row r="55" spans="1:2" ht="16.5" thickBot="1">
      <c r="A55" s="113" t="s">
        <v>831</v>
      </c>
      <c r="B55" s="113">
        <v>2750</v>
      </c>
    </row>
    <row r="56" spans="1:2" ht="16.5" thickBot="1">
      <c r="A56" s="113" t="s">
        <v>832</v>
      </c>
      <c r="B56" s="113">
        <v>3600</v>
      </c>
    </row>
    <row r="57" spans="1:2" ht="16.5" thickBot="1">
      <c r="A57" s="113" t="s">
        <v>833</v>
      </c>
      <c r="B57" s="113">
        <v>3800</v>
      </c>
    </row>
    <row r="58" spans="1:2" ht="16.5" thickBot="1">
      <c r="A58" s="113"/>
      <c r="B58" s="113"/>
    </row>
    <row r="59" spans="1:2" ht="16.5" thickBot="1">
      <c r="A59" s="113" t="s">
        <v>834</v>
      </c>
      <c r="B59" s="113">
        <v>325</v>
      </c>
    </row>
    <row r="60" spans="1:2" ht="16.5" thickBot="1">
      <c r="A60" s="113" t="s">
        <v>835</v>
      </c>
      <c r="B60" s="113">
        <v>350</v>
      </c>
    </row>
    <row r="61" spans="1:2" ht="16.5" thickBot="1">
      <c r="A61" s="113" t="s">
        <v>836</v>
      </c>
      <c r="B61" s="113">
        <v>590</v>
      </c>
    </row>
    <row r="62" spans="1:2" ht="16.5" thickBot="1">
      <c r="A62" s="113" t="s">
        <v>837</v>
      </c>
      <c r="B62" s="113">
        <v>725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CPU</vt:lpstr>
      <vt:lpstr>HP TANK</vt:lpstr>
      <vt:lpstr>MB RAM COMBO</vt:lpstr>
      <vt:lpstr>LAZER HP</vt:lpstr>
      <vt:lpstr>DIVICE</vt:lpstr>
      <vt:lpstr>PEN DRIVE</vt:lpstr>
      <vt:lpstr>TINNY DESKTOP</vt:lpstr>
      <vt:lpstr>BAREBONE DESKTOP</vt:lpstr>
      <vt:lpstr>ASSEBLED DESKTOP</vt:lpstr>
      <vt:lpstr>REFURBISHED LAPTOP</vt:lpstr>
      <vt:lpstr>MISCELLANEOUS</vt:lpstr>
      <vt:lpstr>GIGABYTE MB</vt:lpstr>
      <vt:lpstr>TFT LG</vt:lpstr>
      <vt:lpstr>EXTERNAL SSD</vt:lpstr>
      <vt:lpstr>LAPCARE</vt:lpstr>
      <vt:lpstr>DELL</vt:lpstr>
      <vt:lpstr>UPS BATTERY</vt:lpstr>
      <vt:lpstr>HP PERIPHERALS</vt:lpstr>
      <vt:lpstr>WD HARD DISK</vt:lpstr>
      <vt:lpstr>EPSON INK</vt:lpstr>
      <vt:lpstr>LOGITECH</vt:lpstr>
      <vt:lpstr>TVS PRINTER</vt:lpstr>
      <vt:lpstr>ACER TFT</vt:lpstr>
      <vt:lpstr>D-LINK</vt:lpstr>
      <vt:lpstr>KYIRO</vt:lpstr>
      <vt:lpstr>QUICK HEAL</vt:lpstr>
      <vt:lpstr>IVOOMI</vt:lpstr>
      <vt:lpstr>ALL SSD</vt:lpstr>
      <vt:lpstr>RAM</vt:lpstr>
      <vt:lpstr>EPSON PRINTER</vt:lpstr>
      <vt:lpstr>EVM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PC</cp:lastModifiedBy>
  <dcterms:created xsi:type="dcterms:W3CDTF">2026-05-27T03:28:50Z</dcterms:created>
  <dcterms:modified xsi:type="dcterms:W3CDTF">2026-06-01T06:13:08Z</dcterms:modified>
</cp:coreProperties>
</file>